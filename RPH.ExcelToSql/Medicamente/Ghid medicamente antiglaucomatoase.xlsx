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\Desktop\GitHub\RPH.ExcelToSql\Medicamente\"/>
    </mc:Choice>
  </mc:AlternateContent>
  <bookViews>
    <workbookView xWindow="0" yWindow="0" windowWidth="28800" windowHeight="13380"/>
  </bookViews>
  <sheets>
    <sheet name="MONOTERAPIE" sheetId="1" r:id="rId1"/>
    <sheet name="COMBINATII" sheetId="2" r:id="rId2"/>
    <sheet name="INTERACTIUNI MEDICAMENTOA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2" i="1" l="1"/>
  <c r="A63" i="1" s="1"/>
  <c r="A64" i="1" s="1"/>
  <c r="A65" i="1" s="1"/>
  <c r="A66" i="1" s="1"/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K3" i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D3" i="1"/>
  <c r="D4" i="1" s="1"/>
  <c r="D5" i="1" s="1"/>
  <c r="D6" i="1" s="1"/>
  <c r="D7" i="1" s="1"/>
  <c r="D8" i="1" s="1"/>
  <c r="D9" i="1" s="1"/>
  <c r="D12" i="1"/>
  <c r="D13" i="1" s="1"/>
  <c r="D14" i="1" s="1"/>
  <c r="I16" i="1"/>
  <c r="I17" i="1" s="1"/>
  <c r="J16" i="1"/>
  <c r="J17" i="1" s="1"/>
  <c r="D17" i="1"/>
  <c r="I44" i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J44" i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K44" i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L44" i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D44" i="1"/>
  <c r="D45" i="1" s="1"/>
  <c r="D46" i="1" s="1"/>
  <c r="E49" i="1"/>
  <c r="E50" i="1" s="1"/>
  <c r="H49" i="1"/>
  <c r="H50" i="1" s="1"/>
  <c r="D52" i="1"/>
  <c r="D53" i="1"/>
  <c r="D54" i="1" s="1"/>
  <c r="E55" i="1"/>
  <c r="H55" i="1"/>
  <c r="I57" i="1"/>
  <c r="I58" i="1" s="1"/>
  <c r="I59" i="1" s="1"/>
  <c r="I60" i="1" s="1"/>
  <c r="K57" i="1"/>
  <c r="K58" i="1" s="1"/>
  <c r="K59" i="1" s="1"/>
  <c r="K60" i="1" s="1"/>
  <c r="L57" i="1"/>
  <c r="L58" i="1" s="1"/>
  <c r="L59" i="1" s="1"/>
  <c r="L60" i="1" s="1"/>
  <c r="D57" i="1"/>
  <c r="D58" i="1" s="1"/>
  <c r="D60" i="1"/>
  <c r="I19" i="1"/>
  <c r="I20" i="1" s="1"/>
  <c r="I21" i="1" s="1"/>
  <c r="J19" i="1"/>
  <c r="J20" i="1" s="1"/>
  <c r="J21" i="1" s="1"/>
  <c r="K19" i="1"/>
  <c r="K20" i="1" s="1"/>
  <c r="K21" i="1" s="1"/>
  <c r="L19" i="1"/>
  <c r="L20" i="1" s="1"/>
  <c r="L21" i="1" s="1"/>
  <c r="D20" i="1"/>
  <c r="D21" i="1" s="1"/>
  <c r="I23" i="1"/>
  <c r="I24" i="1" s="1"/>
  <c r="J23" i="1"/>
  <c r="J24" i="1" s="1"/>
  <c r="K23" i="1"/>
  <c r="K24" i="1" s="1"/>
  <c r="L23" i="1"/>
  <c r="L24" i="1" s="1"/>
  <c r="K62" i="1"/>
  <c r="K63" i="1" s="1"/>
  <c r="K64" i="1" s="1"/>
  <c r="K65" i="1" s="1"/>
  <c r="K66" i="1" s="1"/>
  <c r="L62" i="1"/>
  <c r="L63" i="1" s="1"/>
  <c r="L64" i="1" s="1"/>
  <c r="L65" i="1" s="1"/>
  <c r="L66" i="1" s="1"/>
  <c r="D63" i="1"/>
  <c r="F63" i="1"/>
  <c r="G63" i="1"/>
  <c r="J63" i="1"/>
  <c r="J64" i="1" s="1"/>
  <c r="J65" i="1" s="1"/>
  <c r="J66" i="1" s="1"/>
  <c r="I63" i="1"/>
  <c r="I64" i="1"/>
  <c r="D66" i="1"/>
  <c r="I66" i="1"/>
  <c r="D68" i="1"/>
  <c r="I68" i="1"/>
  <c r="I69" i="1" s="1"/>
  <c r="I70" i="1" s="1"/>
  <c r="I71" i="1" s="1"/>
  <c r="J68" i="1"/>
  <c r="J69" i="1" s="1"/>
  <c r="J70" i="1" s="1"/>
  <c r="J71" i="1" s="1"/>
  <c r="K68" i="1"/>
  <c r="K69" i="1" s="1"/>
  <c r="K70" i="1" s="1"/>
  <c r="K71" i="1" s="1"/>
  <c r="L68" i="1"/>
  <c r="L69" i="1" s="1"/>
  <c r="L70" i="1" s="1"/>
  <c r="L71" i="1" s="1"/>
  <c r="D70" i="1"/>
  <c r="J73" i="1"/>
  <c r="L73" i="1"/>
  <c r="I73" i="1"/>
  <c r="I74" i="1" s="1"/>
  <c r="I75" i="1" s="1"/>
  <c r="I76" i="1" s="1"/>
  <c r="K73" i="1"/>
  <c r="K74" i="1" s="1"/>
  <c r="K75" i="1" s="1"/>
  <c r="K76" i="1" s="1"/>
  <c r="J75" i="1"/>
  <c r="J76" i="1" s="1"/>
  <c r="L75" i="1"/>
  <c r="L76" i="1" s="1"/>
  <c r="K78" i="1"/>
  <c r="L78" i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K79" i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J78" i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I78" i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J106" i="1"/>
  <c r="J107" i="1" s="1"/>
  <c r="J108" i="1" s="1"/>
  <c r="J109" i="1" s="1"/>
  <c r="J110" i="1" s="1"/>
  <c r="J111" i="1" s="1"/>
  <c r="J112" i="1" s="1"/>
  <c r="J113" i="1" s="1"/>
  <c r="J114" i="1" s="1"/>
  <c r="C3" i="1"/>
  <c r="C4" i="1" s="1"/>
  <c r="C5" i="1" s="1"/>
  <c r="C6" i="1" s="1"/>
  <c r="C7" i="1" s="1"/>
  <c r="C8" i="1" s="1"/>
  <c r="C9" i="1" s="1"/>
  <c r="C12" i="1"/>
  <c r="C13" i="1" s="1"/>
  <c r="C14" i="1" s="1"/>
  <c r="C17" i="1"/>
  <c r="C44" i="1"/>
  <c r="C45" i="1" s="1"/>
  <c r="C46" i="1" s="1"/>
  <c r="C47" i="1" s="1"/>
  <c r="C48" i="1" s="1"/>
  <c r="C52" i="1"/>
  <c r="C53" i="1" s="1"/>
  <c r="C54" i="1" s="1"/>
  <c r="C57" i="1"/>
  <c r="C58" i="1" s="1"/>
  <c r="C59" i="1" s="1"/>
  <c r="C60" i="1" s="1"/>
  <c r="C20" i="1"/>
  <c r="C21" i="1" s="1"/>
  <c r="C63" i="1"/>
  <c r="C64" i="1" s="1"/>
  <c r="C66" i="1"/>
  <c r="C68" i="1"/>
  <c r="C69" i="1" s="1"/>
  <c r="C70" i="1" s="1"/>
  <c r="C78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9" i="1"/>
  <c r="C100" i="1" s="1"/>
  <c r="C101" i="1" s="1"/>
  <c r="C102" i="1" s="1"/>
  <c r="C103" i="1" s="1"/>
  <c r="C106" i="1"/>
  <c r="C107" i="1" s="1"/>
  <c r="C108" i="1" s="1"/>
  <c r="C109" i="1" s="1"/>
  <c r="C110" i="1" s="1"/>
  <c r="C111" i="1" s="1"/>
  <c r="C112" i="1" s="1"/>
  <c r="C113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6" i="1"/>
  <c r="B17" i="1" s="1"/>
  <c r="B44" i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7" i="1"/>
  <c r="B58" i="1" s="1"/>
  <c r="B59" i="1" s="1"/>
  <c r="B60" i="1" s="1"/>
  <c r="B19" i="1"/>
  <c r="B20" i="1" s="1"/>
  <c r="B21" i="1" s="1"/>
  <c r="B23" i="1"/>
  <c r="B24" i="1" s="1"/>
  <c r="B62" i="1"/>
  <c r="B63" i="1" s="1"/>
  <c r="B64" i="1" s="1"/>
  <c r="B65" i="1" s="1"/>
  <c r="B66" i="1" s="1"/>
  <c r="B68" i="1"/>
  <c r="B69" i="1" s="1"/>
  <c r="B70" i="1" s="1"/>
  <c r="B71" i="1" s="1"/>
  <c r="B73" i="1"/>
  <c r="B75" i="1"/>
  <c r="B76" i="1" s="1"/>
  <c r="B78" i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6" i="1"/>
  <c r="B107" i="1" s="1"/>
  <c r="B108" i="1" s="1"/>
  <c r="B109" i="1" s="1"/>
  <c r="B110" i="1" s="1"/>
  <c r="B111" i="1" s="1"/>
  <c r="B112" i="1" s="1"/>
  <c r="B113" i="1" s="1"/>
  <c r="B114" i="1" s="1"/>
  <c r="G114" i="1"/>
  <c r="G112" i="1"/>
  <c r="G111" i="1"/>
  <c r="G110" i="1"/>
  <c r="G109" i="1"/>
  <c r="G105" i="1"/>
  <c r="G98" i="1"/>
  <c r="G90" i="1"/>
  <c r="G83" i="1"/>
  <c r="G82" i="1"/>
  <c r="G76" i="1"/>
  <c r="G75" i="1"/>
  <c r="G74" i="1"/>
  <c r="G73" i="1"/>
  <c r="G72" i="1"/>
  <c r="G71" i="1"/>
  <c r="G68" i="1"/>
  <c r="G64" i="1"/>
  <c r="G61" i="1"/>
  <c r="G60" i="1"/>
  <c r="G56" i="1"/>
  <c r="G55" i="1"/>
  <c r="G54" i="1"/>
  <c r="G53" i="1"/>
  <c r="G52" i="1"/>
  <c r="G50" i="1"/>
  <c r="G49" i="1"/>
  <c r="G48" i="1"/>
  <c r="G47" i="1"/>
  <c r="G8" i="1"/>
  <c r="G4" i="1"/>
</calcChain>
</file>

<file path=xl/sharedStrings.xml><?xml version="1.0" encoding="utf-8"?>
<sst xmlns="http://schemas.openxmlformats.org/spreadsheetml/2006/main" count="907" uniqueCount="281">
  <si>
    <t>CRT</t>
  </si>
  <si>
    <t>ANALOGI DE PROSTAGLANDINE</t>
  </si>
  <si>
    <t>SUBSATNTA</t>
  </si>
  <si>
    <t>Latanoprost 0.005%</t>
  </si>
  <si>
    <t>Tafluprost 0.0015%</t>
  </si>
  <si>
    <t>Travoprost 0.003% - 0.004%</t>
  </si>
  <si>
    <t>creste fluxul uveo-scleral</t>
  </si>
  <si>
    <t>MOD DE ACTIUNE</t>
  </si>
  <si>
    <t>25 - 35%</t>
  </si>
  <si>
    <t>CONTRA-INDICATII</t>
  </si>
  <si>
    <t>EFECTE ADVERSE</t>
  </si>
  <si>
    <t>Lentile de contact (doar daca se repun dupa 15 minute de la administrarea tratamentului)</t>
  </si>
  <si>
    <t>PROSTAMIDE</t>
  </si>
  <si>
    <t>Bimatoprost 0.03%</t>
  </si>
  <si>
    <t>Bimatoprost 0.01%</t>
  </si>
  <si>
    <t>DENUMIRE COMERCIALA</t>
  </si>
  <si>
    <t>FORMA FARMACEUTICA</t>
  </si>
  <si>
    <t>COMPANIE PRODUCATOARE</t>
  </si>
  <si>
    <t>CO-PLATA PACIENT</t>
  </si>
  <si>
    <t>Picaturi Oftalmice</t>
  </si>
  <si>
    <t>GLAUTAN EYE DROPS/SO .05MG 1ML 2.5ML</t>
  </si>
  <si>
    <t>ROMPHARM</t>
  </si>
  <si>
    <t>PRET FARMACIE</t>
  </si>
  <si>
    <t>ARULATAN EYE DROPS 2.5ML</t>
  </si>
  <si>
    <t>VALEANT*</t>
  </si>
  <si>
    <t>LATANOPROST HF EYE DROPS 50Y 2.5ML</t>
  </si>
  <si>
    <t>STADA PHARMA*</t>
  </si>
  <si>
    <t>MONOPOST EYE DROPS UD 50Y 1ML 30 .2ML</t>
  </si>
  <si>
    <t>LAB THEA</t>
  </si>
  <si>
    <t>SIFITAN EYE DROPS 50Y 1ML 2.5ML</t>
  </si>
  <si>
    <t>NTC S.R.L.</t>
  </si>
  <si>
    <t>UNILAT EYE DROPS 50Y 1ML 2.5ML</t>
  </si>
  <si>
    <t>XALATAN EYE DROPS .005% 2.5ML</t>
  </si>
  <si>
    <t>XALOPTIC EYE DROPS .005% 2.5ML</t>
  </si>
  <si>
    <t>UNIMED PHARMA</t>
  </si>
  <si>
    <t>PFIZER*</t>
  </si>
  <si>
    <t>POLFA*</t>
  </si>
  <si>
    <t>SAFLUTAN EYE DROPS 15Y 1ML 30 .3ML</t>
  </si>
  <si>
    <t>SANTEN</t>
  </si>
  <si>
    <t>BONDULC EYE DROPS 40Y 1ML 2.5ML</t>
  </si>
  <si>
    <t>IZBA EYE DROPS 30Y 1ML 4ML</t>
  </si>
  <si>
    <t>TRAVATAN EYE DROPS 40Y 1ML 2.5ML</t>
  </si>
  <si>
    <t>TRAVOPROST ZENTIVA EYE DROPS 40Y 1ML 2.5ML</t>
  </si>
  <si>
    <t>TEVA*</t>
  </si>
  <si>
    <t>NOVARTIS*</t>
  </si>
  <si>
    <t>SANOFI*</t>
  </si>
  <si>
    <t>BIMAGAN EYE DROPS .3MG 1ML 3ML</t>
  </si>
  <si>
    <t>BIMAGAN EYE DROPS .1MG 1ML 3ML</t>
  </si>
  <si>
    <t>LUMIGAN EYE DROPS .1MG 1ML 3ML</t>
  </si>
  <si>
    <t>ALLERGAN*</t>
  </si>
  <si>
    <t>Timolol 0.1-0.25-0.5%</t>
  </si>
  <si>
    <t>TIMOLOL RPH EYE DROPS .25% 5ML</t>
  </si>
  <si>
    <t>TIMOLOL RPH EYE DROPS .5% 5ML</t>
  </si>
  <si>
    <t>TIMOLOL MALEATE EYE DROPS .25% 5ML</t>
  </si>
  <si>
    <t>TIMOLOL MALEATE EYE DROPS .5% 5ML</t>
  </si>
  <si>
    <t>EIPICO</t>
  </si>
  <si>
    <t>NYOLOL GEL EYE GEL .1% 5G</t>
  </si>
  <si>
    <t>Gel</t>
  </si>
  <si>
    <t>TIMOPTIC COLLYRIUM .5% 5ML</t>
  </si>
  <si>
    <t>Colir</t>
  </si>
  <si>
    <t>Levobunolol 0.25%</t>
  </si>
  <si>
    <t>Metipranolol 0.1-0.3%</t>
  </si>
  <si>
    <t>Carteolol 05-2.0%</t>
  </si>
  <si>
    <t>FORTINOL EP EYE DROPS 20MG 1ML 3ML</t>
  </si>
  <si>
    <t>CARTEOL EYE DROPS 2% 5ML</t>
  </si>
  <si>
    <t>CARTEOL EYE DROPS UD 2% 30 .3ML</t>
  </si>
  <si>
    <t>FORTINOL EP EYE DROPS 2% 3 3ML</t>
  </si>
  <si>
    <t>SIFI</t>
  </si>
  <si>
    <t>Befunolol 0.5%</t>
  </si>
  <si>
    <t>NESELECTIVI</t>
  </si>
  <si>
    <t>BETA-1-SELECTIVI</t>
  </si>
  <si>
    <t>Betaxolol 0.5%</t>
  </si>
  <si>
    <t>20-25%</t>
  </si>
  <si>
    <t>BETOPTIC EYE DROPS .5% 5ML</t>
  </si>
  <si>
    <t>BETOPTIC S EYE DROPS .25% 5ML</t>
  </si>
  <si>
    <t>LOKREN FILM C.TABS 20MG 28</t>
  </si>
  <si>
    <t>BETAC FILM C TABS 20MG 20</t>
  </si>
  <si>
    <t>BETAX EYE DROPS .5% 5ML</t>
  </si>
  <si>
    <t>MEDOCHEMIE</t>
  </si>
  <si>
    <t>Comprimate filmate</t>
  </si>
  <si>
    <t>TOPICI</t>
  </si>
  <si>
    <t>Brinzolamida 1%</t>
  </si>
  <si>
    <t>AZOPT EYE DROPS 1% 5ML</t>
  </si>
  <si>
    <t>Dorzolamida 2%</t>
  </si>
  <si>
    <t>DORZOPT EYE DROPS 20MG 1ML 5ML</t>
  </si>
  <si>
    <t>TRUSOPT EYE SOLUT. 2% 5ML</t>
  </si>
  <si>
    <t>SISTEMICI</t>
  </si>
  <si>
    <t>Acetozolamida</t>
  </si>
  <si>
    <t>Dichlorphenamide</t>
  </si>
  <si>
    <t>30-40%</t>
  </si>
  <si>
    <t>ALPHA 2 - SELECTIVI</t>
  </si>
  <si>
    <t>Apraclonidina 0.5-1%</t>
  </si>
  <si>
    <t>MIRVASO GEL 3MG 1G 30G</t>
  </si>
  <si>
    <t>BRIMONAL EYE DROPS 2MG 1ML 10ML</t>
  </si>
  <si>
    <t>Brimonidina 0.2%</t>
  </si>
  <si>
    <t>GALDERMA</t>
  </si>
  <si>
    <t>REDUCERE IOP</t>
  </si>
  <si>
    <t>25-30%</t>
  </si>
  <si>
    <t>18-25%</t>
  </si>
  <si>
    <t>Clonidina 0.125 - 0.5%</t>
  </si>
  <si>
    <t>CLONIDINA ARENA TABS .15MG 50</t>
  </si>
  <si>
    <t>CLONIDINE TABS .15MG 50</t>
  </si>
  <si>
    <t>Comprimate</t>
  </si>
  <si>
    <t>ARENA GROUP</t>
  </si>
  <si>
    <t>SINTOFARM</t>
  </si>
  <si>
    <t>Epinephrina 0.25 - 2.0%</t>
  </si>
  <si>
    <t>ADRENALIN AMP. .1% 100 1ML</t>
  </si>
  <si>
    <t>ADRENALIN AMP. .1% 1ML</t>
  </si>
  <si>
    <t>EPIPEN PREFIL.PEN 150Y .3ML</t>
  </si>
  <si>
    <t>EPIPEN PREFIL.PEN 300Y .3ML</t>
  </si>
  <si>
    <t>AMP.</t>
  </si>
  <si>
    <t>PREFIL.PEN</t>
  </si>
  <si>
    <t>SUN PHARMA</t>
  </si>
  <si>
    <t>MEDA PHARMA</t>
  </si>
  <si>
    <t>Reduce productia de umoare apoasa si poate creste fluxul uveo-scleral</t>
  </si>
  <si>
    <t>Dipivefrin 0.1%</t>
  </si>
  <si>
    <t>15 - 20%</t>
  </si>
  <si>
    <t>ACTIUNE DIRECTA</t>
  </si>
  <si>
    <t>Pilocarpina  0.5 - 4%</t>
  </si>
  <si>
    <t>Carbachol 0.75 - 3%</t>
  </si>
  <si>
    <t>Demecarium bromide 0.125 - 0.25%</t>
  </si>
  <si>
    <t>Ecothiophate iodide 0.03%</t>
  </si>
  <si>
    <t>Diisopropyl fluorophosphates 0.025 - 0.1%</t>
  </si>
  <si>
    <t>ACTIUNE INDIRECTA</t>
  </si>
  <si>
    <t>15-25%</t>
  </si>
  <si>
    <t>ORAL</t>
  </si>
  <si>
    <t>Glycerol</t>
  </si>
  <si>
    <t>4LAX ADULTI SUPP.GLYC 2350MG 12</t>
  </si>
  <si>
    <t>4LAX ADULTI SUPP.GLYC 2500MG 12</t>
  </si>
  <si>
    <t>4LAX COPII SUPP.GLYC 1400MG 12</t>
  </si>
  <si>
    <t>4LAX COPII SUPP.GLYC 1500MG 12</t>
  </si>
  <si>
    <t>GLICEROL SUPP 1500MG PAED 12</t>
  </si>
  <si>
    <t>GLICEROL SUPP 2500MG ADLT 12</t>
  </si>
  <si>
    <t>GLICEROL SUPP ADLT 2500MG 18</t>
  </si>
  <si>
    <t>SUPPOS GLYCERINI SUPP 1.41G PAED 12</t>
  </si>
  <si>
    <t>SUPPOS GLYCERINI SUPP 1500MG PAED 12</t>
  </si>
  <si>
    <t>SUPPOS GLYCERINI SUPP 1500MG PAED 18</t>
  </si>
  <si>
    <t>SUPPOS GLYCERINI SUPP 2.1G ADLT 12</t>
  </si>
  <si>
    <t>SUPPOS GLYCERINI SUPP 2100MG ADLT 10</t>
  </si>
  <si>
    <t>SUPPOS GLYCERINI SUPP 2500MG ADLT 12</t>
  </si>
  <si>
    <t>SUPPOS GLYCERINI SUPP 2500MG ADLT 18</t>
  </si>
  <si>
    <t>SUPPOS GLYCERINI SUPP ADLT 12</t>
  </si>
  <si>
    <t>SUPPOS GLYCERINI SUPP ADLT 2500MG 10</t>
  </si>
  <si>
    <t>SUPPOS GLYCERINI SUPP ADLT 2500MG 12</t>
  </si>
  <si>
    <t>SUPPOS GLYCERINI SUPP PAED 12</t>
  </si>
  <si>
    <t>SUPPOS GLYCERINI SUPP PAED 1400MG 10</t>
  </si>
  <si>
    <t>SUPPOS GLYCERINI SUPP PAED 1500MG 10</t>
  </si>
  <si>
    <t>SUPPOS GLYCERINI SUPP PAED 1500MG 12</t>
  </si>
  <si>
    <t>SUPP.GLYC</t>
  </si>
  <si>
    <t>SUPP</t>
  </si>
  <si>
    <t>SUPP ADLT</t>
  </si>
  <si>
    <t>SUPP PAED</t>
  </si>
  <si>
    <t>Isosorbide</t>
  </si>
  <si>
    <t>ISODINIT TABS L.A. 20MG 60</t>
  </si>
  <si>
    <t>ISOSORBID DINITRAT TABS 10MG 30</t>
  </si>
  <si>
    <t>ISOSORBIDE DINITRA TABS 10MG 60</t>
  </si>
  <si>
    <t>MONONITRON EP FILM TABS LA 60MG 40</t>
  </si>
  <si>
    <t>OLICARD CAPS L.A 40MG 20</t>
  </si>
  <si>
    <t>MYLAN*</t>
  </si>
  <si>
    <t>TABS L.A.</t>
  </si>
  <si>
    <t>TABS</t>
  </si>
  <si>
    <t>FILM TABS LA</t>
  </si>
  <si>
    <t>CAPS L.A</t>
  </si>
  <si>
    <t>SOLACIUM PHARMA</t>
  </si>
  <si>
    <t>SOFAR ITALIA</t>
  </si>
  <si>
    <t>ANTIBIOTICE</t>
  </si>
  <si>
    <t>LAROPHARM</t>
  </si>
  <si>
    <t>TIS FARMACEUTIC</t>
  </si>
  <si>
    <t>HYLLAN*</t>
  </si>
  <si>
    <t>Alcohol</t>
  </si>
  <si>
    <t>Mannitol</t>
  </si>
  <si>
    <t>INFUSION</t>
  </si>
  <si>
    <t>INFUS 1CONN</t>
  </si>
  <si>
    <t>INFUS 2CONN</t>
  </si>
  <si>
    <t>MANITOL 20% FRESEN INFUSION 12 250ML</t>
  </si>
  <si>
    <t>MANITOL INFUS 1CONN 20% 10 250ML</t>
  </si>
  <si>
    <t>MANITOL INFUS 1CONN 20% 10 500ML</t>
  </si>
  <si>
    <t>MANITOL INFUS 2CONN 20% 10 250ML</t>
  </si>
  <si>
    <t>MANITOL INFUSION 20% 250ML</t>
  </si>
  <si>
    <t>MANITOL INFUSION 20% 500ML</t>
  </si>
  <si>
    <t>MANNITOL VIOSER INFUSION 20% 10 250ML</t>
  </si>
  <si>
    <t>OSMOFUNDIN INFUSION 15% 10 100ML</t>
  </si>
  <si>
    <t>OSMOFUNDIN INFUSION 15% 10 250ML</t>
  </si>
  <si>
    <t>FRESENIUS*</t>
  </si>
  <si>
    <t>INFOMED FLUIDS*</t>
  </si>
  <si>
    <t>VIOSER</t>
  </si>
  <si>
    <t>B.BRAUN</t>
  </si>
  <si>
    <t>INTRAVENOS</t>
  </si>
  <si>
    <t>Urea</t>
  </si>
  <si>
    <t>15-20%</t>
  </si>
  <si>
    <t>15-30%</t>
  </si>
  <si>
    <t>Disfunctii cardiace sau renale</t>
  </si>
  <si>
    <t>Nu se comercializeaza in Romania</t>
  </si>
  <si>
    <t xml:space="preserve">Local: arsuri, intepaturi. Systemic:efecte secundare cardiace si respiratorii, depresie disfunctie erectila </t>
  </si>
  <si>
    <t>Nu se compenseaza</t>
  </si>
  <si>
    <t xml:space="preserve">E.I.P.I.CO. MED </t>
  </si>
  <si>
    <t>DORZOLAMIDA ARENA 20 mg/ml</t>
  </si>
  <si>
    <t>ARENA</t>
  </si>
  <si>
    <t>MONO ROM SR 60 mg</t>
  </si>
  <si>
    <t>CAPS. ELIB. PREL.</t>
  </si>
  <si>
    <t>Scaderea IOP - medicatie topica combinata</t>
  </si>
  <si>
    <t>Bimatoprost 0.03% + Timolol 0.5%</t>
  </si>
  <si>
    <t>GANFORT EYE DROPS 3ML</t>
  </si>
  <si>
    <t>Latanoprost 0.005% + Timolol 0.5%</t>
  </si>
  <si>
    <t>Travoprost 0.0004% + Timolol 0.5%</t>
  </si>
  <si>
    <t>Brimonidina 0.2% + Timolol 0.5%</t>
  </si>
  <si>
    <t>Dorzolamida 2% + Timolol 0.5%</t>
  </si>
  <si>
    <t>Pilocarpina 2% + Timolol 0.5%</t>
  </si>
  <si>
    <t>Pilocarpina 4% + Timolol 0.5%</t>
  </si>
  <si>
    <t>Pilocarpina 2% + Metipranolol 0.1%</t>
  </si>
  <si>
    <t>Pilocarpina 2% + Carteolol 2%</t>
  </si>
  <si>
    <t>Brinzolamida 1% + Brimonidina 0.2%</t>
  </si>
  <si>
    <t>Tafluprost 0.0015% + Timolol 0.5%</t>
  </si>
  <si>
    <t>ARUCOM EYE DROPS 2.5ML</t>
  </si>
  <si>
    <t>LATANOPRO/TIMOL HF EYE DROPS 50Y 2.5ML</t>
  </si>
  <si>
    <t>XALCOM EYE DROPS 2.5ML</t>
  </si>
  <si>
    <t>XALOPTIC COMBI EYE DROPS 2.5ML</t>
  </si>
  <si>
    <t>Prostamida + Beta blocant</t>
  </si>
  <si>
    <t>Analog de prostaglandina + Beta Blocant</t>
  </si>
  <si>
    <t>DUOTRAV EYE DROPS 2.5ML</t>
  </si>
  <si>
    <t>COSOPT EYE DROPS 5ML</t>
  </si>
  <si>
    <t>SIFIOPT EYE DRO/SOL 20MG 5MG 5ML</t>
  </si>
  <si>
    <t>Antagonist Alfa 2 Selectiv + Beta Blocant</t>
  </si>
  <si>
    <t>OFTAFARMA ROMANIA</t>
  </si>
  <si>
    <t>AZARGA EYE DROPS 5ML</t>
  </si>
  <si>
    <t>Medicament colinergic cu actiune directa + Beta Blocant</t>
  </si>
  <si>
    <t>Metozolamida</t>
  </si>
  <si>
    <t xml:space="preserve">Medicament colinergic cu actiune directa + Beta Blocant </t>
  </si>
  <si>
    <t>Inhibitor topic al anhidrazei carbonice + Antagonist Alfa 2 selectiv</t>
  </si>
  <si>
    <t>COMBIGAN 2 mg/ml + 5 mg/ml</t>
  </si>
  <si>
    <t>Ewopharma AG</t>
  </si>
  <si>
    <t>Teva</t>
  </si>
  <si>
    <t>BRIMONIDINE TARTRAT Teva 2 mg/ml</t>
  </si>
  <si>
    <t>Pacienti cu boli cardio-pulmonare.</t>
  </si>
  <si>
    <t>scade productia de umoare apoasa</t>
  </si>
  <si>
    <t>scade productia de umoare apoasa si creste fluxul uveo-scleral</t>
  </si>
  <si>
    <t>scade  productia de umoare apoasa</t>
  </si>
  <si>
    <t>Efecte adverse de clasa</t>
  </si>
  <si>
    <t>Agonisti Alpha 2</t>
  </si>
  <si>
    <t>Beta - Blocanti</t>
  </si>
  <si>
    <t>Inhibitori Topici ai Anhidrazei Carbonice</t>
  </si>
  <si>
    <t>Medicamente Colinergice</t>
  </si>
  <si>
    <t>Prostaglandine/ Prostamide</t>
  </si>
  <si>
    <t>+</t>
  </si>
  <si>
    <t>±</t>
  </si>
  <si>
    <t>SIMBRINZA 10 mg/mL + 2 mg/mL eye drops, suspension</t>
  </si>
  <si>
    <t>ALCON</t>
  </si>
  <si>
    <t>Brizolamida 1% + Timolol 0.5%</t>
  </si>
  <si>
    <t>Inhibitori topici al anhidrazei carbonice + Beta Blocant</t>
  </si>
  <si>
    <t>ANTAGONISTI BETA-ADRENERGICI</t>
  </si>
  <si>
    <t>INHIBITORI AI ANHIDRAZEI CARBONICE</t>
  </si>
  <si>
    <t>ANTAGONISTI NESELECTIVI ADRENERGICI</t>
  </si>
  <si>
    <t>MEDICAMENTE COLINERGICE</t>
  </si>
  <si>
    <t>AGENTI HIPEROSMOTICI</t>
  </si>
  <si>
    <t>TIP</t>
  </si>
  <si>
    <t>~</t>
  </si>
  <si>
    <r>
      <rPr>
        <sz val="11"/>
        <color theme="1"/>
        <rFont val="Calibri"/>
        <family val="2"/>
      </rPr>
      <t>+/-</t>
    </r>
    <r>
      <rPr>
        <sz val="11"/>
        <color theme="1"/>
        <rFont val="Calibri"/>
        <family val="2"/>
        <scheme val="minor"/>
      </rPr>
      <t xml:space="preserve"> 20%</t>
    </r>
  </si>
  <si>
    <t>Local: vedere redusa datorita miopiei miosisad, hiperemie conjunctivala, dezlipire de retina, opacitatea lentilelor, precipitarea inchiderii unghiului, chisturi pe irisului. Sistemic: crampe intestinale, bronhospasme, cefalee.</t>
  </si>
  <si>
    <t>Local: vedere redusa datorita miopiei miosisad, hiperemie conjunctivala, dezlipire de retina, opacitatea lentilelor, precipitarea inchiderii unghiului, chisturi pe irisului. Sistemic: crampe intestinale, bronhospasme, cefalee .Efecte adverse mult mai agresive decat la medicamentele colinergice cu actiune directa.</t>
  </si>
  <si>
    <t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t>
  </si>
  <si>
    <t>Pacienti cu numar scazut de celule endoteliale corneene, datorita riscului crescut de edem cornean</t>
  </si>
  <si>
    <t>Sistemic: parestezii, disfunctii auditive, tinitus, pierderea poftei de mancare, alterarea gustului greata, varsaturi, diaree, depresie, scaderea libidoului, pietre la rinichi, discrasii sanguine, acidoza metbolica, dezechilibru electrolitic.</t>
  </si>
  <si>
    <t>Utilizatorii de inhibitori ai monoaminooxidazei orale (MAO), copii, greutatea corporala foarte scazuta la adulti</t>
  </si>
  <si>
    <t>ocluri oclutabile (necesar iridotomiei) Pacienti afecti (edem macular)</t>
  </si>
  <si>
    <t>Astm bronsic, istoric de COPD, bradicardie sinusala (&lt; 60 batai / minut) blocaj cardiac sau insuficienta cardiaca</t>
  </si>
  <si>
    <t>Local: arsura, durere, gust amar, punctat superficial, keratita, vedere incetosata, rupere. Sistemic: Cefalee, urticarie, angioedem, prurit, astenie, ameteli, parestezii si miopie tranzitorie</t>
  </si>
  <si>
    <t>Depresia nivelului sanguin de sodiu si / sau potasiu, cazuri de boala sau disfunctie renala sau hepatica, insuficienta de glanda suprarenala, hiperchloremicidoza</t>
  </si>
  <si>
    <t>Local: retragerea capului, blancare conjunctivala, midriaza limitata, blefaroconjunctivita alergica, dermatita de contact perioculara, alergie sau hipersensibilitate intarziata. Sistemice: senzatie de gura si nas uscate, hipotensiune sistemica, bradicardie, oboseala, somnolenta</t>
  </si>
  <si>
    <t>Local: hiperemie conjuctivala, pigmentare conjuctiva, arsura, durere oculara, vedere incetosata, edem macular. Sistemic: hipertensiune sistemica, cefalee, anxietate, confuzie, durere toracica, dificultati de respiratie, tahicardie, transpiratie.</t>
  </si>
  <si>
    <t>Faciliteaza scurgerea de umoare apoasa prin contractia muschilor ciliari, tensiunea pe varful scleral si tractiunea pe reteaua trabeculara</t>
  </si>
  <si>
    <t>Inflamatie postoperatorie, glaucom neovascular uveitis. Pacientul cu risc de detasare a retinei, tulburari gastro-intestinale spastice, ulcer peptic, bradicardie, hipotensiune arteriala, infarct miocardic recent, epilepsie, parkinsonism</t>
  </si>
  <si>
    <t>Deshidratarea si reducerea volumului vitros. Miscarea posterioara a planului iris - lentila cu aprofundarea AC</t>
  </si>
  <si>
    <t>Greata, varsaturi, deshidratare. Cresterea diurezei, hiponatremia serera poate duce la letargie, obtundation, convulsii, coma. Posibila crestere a glucozei in sange. Insuficienta renala oligurica acuta. Reactie de hipersensibilitate.</t>
  </si>
  <si>
    <t>scade productiei de umoare apoasa</t>
  </si>
  <si>
    <t>Reducerea productiei de umoare apoasa</t>
  </si>
  <si>
    <t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t>
  </si>
  <si>
    <t>ANTAGONISTI SELECTIVE ALFA 2 - ADRENERGICI</t>
  </si>
  <si>
    <t>Bimatoprost 0.03% + Timolol 0.5% Rompharm</t>
  </si>
  <si>
    <t>creste fluxul uveo-scleral si scade producţiei de umoare apoasa</t>
  </si>
  <si>
    <t>GLAUTAN PLUS EYE DROP 5MG 50Y 2.5ML Rompharm</t>
  </si>
  <si>
    <t>scade productia de umoare apoasa si creste fluxul uveo-scleral,  scade producţiei de umoare apoasa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</si>
</sst>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charset val="238"/>
      <scheme val="minor"/>
    </font>
    <font>
      <sz val="9"/>
      <color rgb="FF383838"/>
      <name val="Verdana"/>
      <family val="2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sz val="9"/>
      <color rgb="FF222222"/>
      <name val="Calibri"/>
      <family val="2"/>
      <scheme val="minor"/>
    </font>
    <font>
      <b/>
      <sz val="9"/>
      <color rgb="FF333333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</cellStyleXfs>
  <cellXfs count="2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0" xfId="0" applyAlignment="1"/>
    <xf numFmtId="0" fontId="2" fillId="0" borderId="1" xfId="0" quotePrefix="1" applyFont="1" applyBorder="1" applyAlignment="1"/>
    <xf numFmtId="164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8" xfId="0" quotePrefix="1" applyNumberFormat="1" applyFont="1" applyBorder="1" applyAlignment="1">
      <alignment horizontal="center"/>
    </xf>
    <xf numFmtId="0" fontId="2" fillId="0" borderId="36" xfId="0" quotePrefix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37" xfId="0" quotePrefix="1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 indent="2"/>
    </xf>
    <xf numFmtId="164" fontId="2" fillId="0" borderId="1" xfId="0" applyNumberFormat="1" applyFont="1" applyBorder="1"/>
    <xf numFmtId="0" fontId="2" fillId="0" borderId="1" xfId="0" quotePrefix="1" applyNumberFormat="1" applyFont="1" applyBorder="1"/>
    <xf numFmtId="0" fontId="2" fillId="0" borderId="1" xfId="0" quotePrefix="1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2" fillId="0" borderId="7" xfId="0" quotePrefix="1" applyFont="1" applyBorder="1" applyAlignment="1"/>
    <xf numFmtId="164" fontId="2" fillId="0" borderId="15" xfId="0" applyNumberFormat="1" applyFont="1" applyBorder="1" applyAlignment="1">
      <alignment horizontal="center"/>
    </xf>
    <xf numFmtId="0" fontId="2" fillId="0" borderId="20" xfId="0" quotePrefix="1" applyNumberFormat="1" applyFont="1" applyBorder="1" applyAlignment="1">
      <alignment horizontal="center"/>
    </xf>
    <xf numFmtId="0" fontId="0" fillId="0" borderId="28" xfId="0" applyBorder="1" applyAlignment="1"/>
    <xf numFmtId="0" fontId="0" fillId="0" borderId="20" xfId="0" applyBorder="1" applyAlignment="1">
      <alignment horizontal="center"/>
    </xf>
    <xf numFmtId="164" fontId="2" fillId="0" borderId="7" xfId="0" applyNumberFormat="1" applyFont="1" applyBorder="1"/>
    <xf numFmtId="0" fontId="2" fillId="0" borderId="36" xfId="0" quotePrefix="1" applyNumberFormat="1" applyFont="1" applyBorder="1"/>
    <xf numFmtId="164" fontId="2" fillId="0" borderId="15" xfId="0" applyNumberFormat="1" applyFont="1" applyBorder="1"/>
    <xf numFmtId="0" fontId="2" fillId="0" borderId="37" xfId="0" quotePrefix="1" applyNumberFormat="1" applyFont="1" applyBorder="1"/>
    <xf numFmtId="164" fontId="2" fillId="0" borderId="2" xfId="0" applyNumberFormat="1" applyFont="1" applyBorder="1"/>
    <xf numFmtId="0" fontId="2" fillId="0" borderId="9" xfId="0" quotePrefix="1" applyNumberFormat="1" applyFont="1" applyBorder="1"/>
    <xf numFmtId="0" fontId="2" fillId="0" borderId="20" xfId="0" quotePrefix="1" applyNumberFormat="1" applyFont="1" applyBorder="1"/>
    <xf numFmtId="0" fontId="0" fillId="0" borderId="26" xfId="0" applyBorder="1" applyAlignment="1">
      <alignment horizontal="center"/>
    </xf>
    <xf numFmtId="0" fontId="2" fillId="0" borderId="8" xfId="0" quotePrefix="1" applyNumberFormat="1" applyFont="1" applyBorder="1"/>
    <xf numFmtId="164" fontId="2" fillId="0" borderId="19" xfId="0" applyNumberFormat="1" applyFont="1" applyBorder="1"/>
    <xf numFmtId="0" fontId="2" fillId="0" borderId="7" xfId="0" quotePrefix="1" applyFont="1" applyBorder="1" applyAlignment="1">
      <alignment horizontal="left" indent="2"/>
    </xf>
    <xf numFmtId="0" fontId="2" fillId="0" borderId="15" xfId="0" quotePrefix="1" applyFont="1" applyBorder="1" applyAlignment="1">
      <alignment horizontal="left" indent="2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0" borderId="19" xfId="0" quotePrefix="1" applyFont="1" applyBorder="1" applyAlignment="1">
      <alignment horizontal="left" indent="2"/>
    </xf>
    <xf numFmtId="0" fontId="2" fillId="0" borderId="2" xfId="0" quotePrefix="1" applyFont="1" applyBorder="1" applyAlignment="1">
      <alignment horizontal="left" indent="2"/>
    </xf>
    <xf numFmtId="0" fontId="0" fillId="0" borderId="23" xfId="0" applyBorder="1" applyAlignment="1">
      <alignment horizontal="center"/>
    </xf>
    <xf numFmtId="0" fontId="0" fillId="0" borderId="10" xfId="0" applyBorder="1" applyAlignment="1"/>
    <xf numFmtId="0" fontId="0" fillId="0" borderId="11" xfId="0" applyBorder="1" applyAlignment="1">
      <alignment horizontal="center"/>
    </xf>
    <xf numFmtId="0" fontId="2" fillId="0" borderId="17" xfId="0" quotePrefix="1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0" fontId="2" fillId="0" borderId="7" xfId="0" quotePrefix="1" applyFont="1" applyBorder="1" applyAlignment="1">
      <alignment horizontal="left"/>
    </xf>
    <xf numFmtId="0" fontId="2" fillId="0" borderId="15" xfId="0" quotePrefix="1" applyFont="1" applyBorder="1" applyAlignment="1">
      <alignment horizontal="left"/>
    </xf>
    <xf numFmtId="0" fontId="0" fillId="0" borderId="12" xfId="0" applyBorder="1" applyAlignment="1"/>
    <xf numFmtId="0" fontId="0" fillId="0" borderId="6" xfId="0" applyBorder="1"/>
    <xf numFmtId="0" fontId="0" fillId="0" borderId="19" xfId="0" applyBorder="1"/>
    <xf numFmtId="0" fontId="0" fillId="0" borderId="19" xfId="0" applyBorder="1" applyAlignment="1"/>
    <xf numFmtId="0" fontId="3" fillId="0" borderId="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7" xfId="0" quotePrefix="1" applyNumberFormat="1" applyFont="1" applyBorder="1"/>
    <xf numFmtId="0" fontId="2" fillId="0" borderId="15" xfId="0" quotePrefix="1" applyNumberFormat="1" applyFont="1" applyBorder="1"/>
    <xf numFmtId="0" fontId="0" fillId="0" borderId="33" xfId="0" applyBorder="1" applyAlignment="1">
      <alignment horizontal="center" vertical="center"/>
    </xf>
    <xf numFmtId="164" fontId="2" fillId="0" borderId="16" xfId="0" applyNumberFormat="1" applyFont="1" applyBorder="1"/>
    <xf numFmtId="0" fontId="2" fillId="0" borderId="17" xfId="0" quotePrefix="1" applyNumberFormat="1" applyFont="1" applyBorder="1"/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8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4" fillId="0" borderId="1" xfId="0" applyFont="1" applyBorder="1" applyAlignment="1">
      <alignment horizontal="center"/>
    </xf>
    <xf numFmtId="0" fontId="2" fillId="0" borderId="23" xfId="0" quotePrefix="1" applyFont="1" applyBorder="1" applyAlignment="1"/>
    <xf numFmtId="0" fontId="2" fillId="0" borderId="49" xfId="0" quotePrefix="1" applyFont="1" applyBorder="1" applyAlignment="1"/>
    <xf numFmtId="0" fontId="2" fillId="0" borderId="51" xfId="0" quotePrefix="1" applyFont="1" applyBorder="1" applyAlignment="1"/>
    <xf numFmtId="164" fontId="2" fillId="0" borderId="3" xfId="0" applyNumberFormat="1" applyFont="1" applyBorder="1" applyAlignment="1">
      <alignment horizontal="center"/>
    </xf>
    <xf numFmtId="0" fontId="2" fillId="0" borderId="11" xfId="0" quotePrefix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29" xfId="1" applyFont="1" applyBorder="1" applyAlignment="1">
      <alignment shrinkToFit="1"/>
    </xf>
    <xf numFmtId="0" fontId="7" fillId="0" borderId="30" xfId="1" applyFont="1" applyBorder="1" applyAlignment="1">
      <alignment shrinkToFit="1"/>
    </xf>
    <xf numFmtId="0" fontId="0" fillId="0" borderId="18" xfId="0" applyBorder="1" applyAlignment="1"/>
    <xf numFmtId="0" fontId="8" fillId="0" borderId="42" xfId="4" applyFont="1" applyBorder="1" applyAlignment="1">
      <alignment horizontal="center" shrinkToFit="1"/>
    </xf>
    <xf numFmtId="0" fontId="5" fillId="0" borderId="6" xfId="0" quotePrefix="1" applyNumberFormat="1" applyFont="1" applyBorder="1"/>
    <xf numFmtId="0" fontId="5" fillId="0" borderId="13" xfId="0" quotePrefix="1" applyNumberFormat="1" applyFont="1" applyBorder="1"/>
    <xf numFmtId="0" fontId="5" fillId="0" borderId="14" xfId="0" quotePrefix="1" applyNumberFormat="1" applyFont="1" applyBorder="1"/>
    <xf numFmtId="0" fontId="11" fillId="0" borderId="33" xfId="4" applyFont="1" applyBorder="1" applyAlignment="1">
      <alignment shrinkToFit="1"/>
    </xf>
    <xf numFmtId="0" fontId="11" fillId="0" borderId="34" xfId="4" applyFont="1" applyBorder="1" applyAlignment="1">
      <alignment shrinkToFit="1"/>
    </xf>
    <xf numFmtId="0" fontId="12" fillId="0" borderId="20" xfId="0" quotePrefix="1" applyNumberFormat="1" applyFont="1" applyBorder="1"/>
    <xf numFmtId="0" fontId="1" fillId="0" borderId="3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2" fillId="0" borderId="4" xfId="0" quotePrefix="1" applyFont="1" applyBorder="1" applyAlignment="1">
      <alignment horizontal="left"/>
    </xf>
    <xf numFmtId="164" fontId="2" fillId="0" borderId="4" xfId="0" applyNumberFormat="1" applyFont="1" applyBorder="1" applyAlignment="1">
      <alignment horizontal="center"/>
    </xf>
    <xf numFmtId="0" fontId="2" fillId="0" borderId="57" xfId="0" quotePrefix="1" applyNumberFormat="1" applyFont="1" applyBorder="1" applyAlignment="1">
      <alignment horizontal="center"/>
    </xf>
    <xf numFmtId="0" fontId="2" fillId="0" borderId="19" xfId="0" quotePrefix="1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0" fontId="2" fillId="0" borderId="16" xfId="0" quotePrefix="1" applyFont="1" applyBorder="1" applyAlignment="1"/>
    <xf numFmtId="0" fontId="10" fillId="0" borderId="42" xfId="0" applyFont="1" applyBorder="1" applyAlignment="1">
      <alignment horizontal="left" vertical="center" wrapText="1"/>
    </xf>
    <xf numFmtId="0" fontId="0" fillId="0" borderId="52" xfId="0" applyBorder="1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9" fontId="0" fillId="0" borderId="23" xfId="0" applyNumberFormat="1" applyBorder="1" applyAlignment="1">
      <alignment horizontal="center" vertical="center" wrapText="1"/>
    </xf>
    <xf numFmtId="9" fontId="0" fillId="0" borderId="24" xfId="0" applyNumberForma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2" fillId="0" borderId="27" xfId="0" quotePrefix="1" applyNumberFormat="1" applyFont="1" applyBorder="1" applyAlignment="1">
      <alignment horizontal="center"/>
    </xf>
    <xf numFmtId="0" fontId="2" fillId="0" borderId="21" xfId="0" quotePrefix="1" applyNumberFormat="1" applyFont="1" applyBorder="1" applyAlignment="1">
      <alignment horizontal="center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4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25" xfId="0" applyNumberForma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9" fontId="0" fillId="0" borderId="23" xfId="0" quotePrefix="1" applyNumberForma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3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2" fillId="0" borderId="46" xfId="0" quotePrefix="1" applyFont="1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2" fillId="0" borderId="46" xfId="0" quotePrefix="1" applyNumberFormat="1" applyFon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" fillId="0" borderId="49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164" fontId="2" fillId="0" borderId="28" xfId="0" applyNumberFormat="1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48" xfId="0" applyFont="1" applyBorder="1" applyAlignment="1">
      <alignment horizontal="left" vertical="center" wrapText="1"/>
    </xf>
    <xf numFmtId="0" fontId="0" fillId="0" borderId="48" xfId="0" applyBorder="1" applyAlignment="1">
      <alignment horizontal="left" vertical="center"/>
    </xf>
    <xf numFmtId="0" fontId="2" fillId="0" borderId="15" xfId="0" quotePrefix="1" applyFont="1" applyBorder="1" applyAlignment="1">
      <alignment horizontal="left" vertical="center"/>
    </xf>
    <xf numFmtId="164" fontId="2" fillId="0" borderId="19" xfId="0" applyNumberFormat="1" applyFont="1" applyBorder="1" applyAlignment="1">
      <alignment horizontal="left" vertical="center"/>
    </xf>
    <xf numFmtId="0" fontId="2" fillId="0" borderId="35" xfId="0" quotePrefix="1" applyNumberFormat="1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1" fillId="0" borderId="23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8" xfId="0" quotePrefix="1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36" xfId="0" quotePrefix="1" applyNumberFormat="1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9" xfId="0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64" fontId="2" fillId="0" borderId="7" xfId="0" applyNumberFormat="1" applyFont="1" applyBorder="1" applyAlignment="1">
      <alignment horizontal="left" vertical="center"/>
    </xf>
    <xf numFmtId="164" fontId="2" fillId="0" borderId="15" xfId="0" applyNumberFormat="1" applyFont="1" applyBorder="1" applyAlignment="1">
      <alignment horizontal="left" vertical="center"/>
    </xf>
    <xf numFmtId="0" fontId="2" fillId="0" borderId="37" xfId="0" quotePrefix="1" applyNumberFormat="1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" fillId="0" borderId="19" xfId="0" quotePrefix="1" applyFont="1" applyBorder="1" applyAlignment="1">
      <alignment horizontal="left" vertical="center"/>
    </xf>
    <xf numFmtId="0" fontId="2" fillId="0" borderId="20" xfId="0" quotePrefix="1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 wrapText="1"/>
    </xf>
    <xf numFmtId="0" fontId="2" fillId="0" borderId="28" xfId="0" quotePrefix="1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164" fontId="2" fillId="0" borderId="39" xfId="0" applyNumberFormat="1" applyFont="1" applyBorder="1" applyAlignment="1">
      <alignment horizontal="left" vertical="center"/>
    </xf>
    <xf numFmtId="0" fontId="2" fillId="0" borderId="0" xfId="0" quotePrefix="1" applyNumberFormat="1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</cellXfs>
  <cellStyles count="6">
    <cellStyle name="Comma 2" xfId="2"/>
    <cellStyle name="Comma 2 2" xfId="3"/>
    <cellStyle name="Normal" xfId="0" builtinId="0"/>
    <cellStyle name="Normal 2" xfId="4"/>
    <cellStyle name="Normal 2 2" xfId="5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abSelected="1" topLeftCell="A9" zoomScale="55" zoomScaleNormal="55" workbookViewId="0">
      <selection activeCell="P36" sqref="P36"/>
    </sheetView>
  </sheetViews>
  <sheetFormatPr defaultRowHeight="15" x14ac:dyDescent="0.25"/>
  <cols>
    <col min="1" max="1" width="91.28515625" customWidth="1"/>
    <col min="2" max="2" width="37.28515625" customWidth="1"/>
    <col min="3" max="3" width="29.5703125" customWidth="1"/>
    <col min="4" max="4" width="18" customWidth="1"/>
    <col min="5" max="5" width="37.42578125" style="12" customWidth="1"/>
    <col min="6" max="6" width="9.5703125" style="1" customWidth="1"/>
    <col min="7" max="7" width="13.42578125" style="1" customWidth="1"/>
    <col min="8" max="8" width="18.5703125" style="1" customWidth="1"/>
    <col min="9" max="9" width="21.42578125" customWidth="1"/>
    <col min="10" max="10" width="15" customWidth="1"/>
    <col min="11" max="11" width="20.85546875" customWidth="1"/>
    <col min="12" max="12" width="19.85546875" customWidth="1"/>
  </cols>
  <sheetData>
    <row r="1" spans="1:12" s="4" customFormat="1" ht="42.75" customHeight="1" thickBot="1" x14ac:dyDescent="0.3">
      <c r="A1" s="157" t="s">
        <v>254</v>
      </c>
      <c r="B1" s="8" t="s">
        <v>0</v>
      </c>
      <c r="C1" s="11" t="s">
        <v>2</v>
      </c>
      <c r="D1" s="11" t="s">
        <v>16</v>
      </c>
      <c r="E1" s="11" t="s">
        <v>15</v>
      </c>
      <c r="F1" s="11" t="s">
        <v>18</v>
      </c>
      <c r="G1" s="11" t="s">
        <v>22</v>
      </c>
      <c r="H1" s="11" t="s">
        <v>17</v>
      </c>
      <c r="I1" s="9" t="s">
        <v>7</v>
      </c>
      <c r="J1" s="9" t="s">
        <v>96</v>
      </c>
      <c r="K1" s="9" t="s">
        <v>9</v>
      </c>
      <c r="L1" s="10" t="s">
        <v>10</v>
      </c>
    </row>
    <row r="2" spans="1:12" ht="24.95" customHeight="1" x14ac:dyDescent="0.25">
      <c r="A2" t="s">
        <v>1</v>
      </c>
      <c r="B2" s="146" t="s">
        <v>1</v>
      </c>
      <c r="C2" s="142" t="s">
        <v>3</v>
      </c>
      <c r="D2" s="155" t="s">
        <v>19</v>
      </c>
      <c r="E2" s="29" t="s">
        <v>20</v>
      </c>
      <c r="F2" s="17">
        <v>0</v>
      </c>
      <c r="G2" s="18">
        <v>24.724737793851698</v>
      </c>
      <c r="H2" s="19" t="s">
        <v>21</v>
      </c>
      <c r="I2" s="122" t="s">
        <v>6</v>
      </c>
      <c r="J2" s="112" t="s">
        <v>8</v>
      </c>
      <c r="K2" s="122" t="s">
        <v>11</v>
      </c>
      <c r="L2" s="122" t="s">
        <v>275</v>
      </c>
    </row>
    <row r="3" spans="1:12" ht="24.95" customHeight="1" x14ac:dyDescent="0.25">
      <c r="A3" t="s">
        <v>1</v>
      </c>
      <c r="B3" s="148" t="str">
        <f t="shared" ref="B3:B14" si="0">B2</f>
        <v>ANALOGI DE PROSTAGLANDINE</v>
      </c>
      <c r="C3" s="143" t="str">
        <f t="shared" ref="C3:C9" si="1">C2</f>
        <v>Latanoprost 0.005%</v>
      </c>
      <c r="D3" s="137" t="str">
        <f t="shared" ref="D3:D9" si="2">D2</f>
        <v>Picaturi Oftalmice</v>
      </c>
      <c r="E3" s="13" t="s">
        <v>23</v>
      </c>
      <c r="F3" s="3" t="s">
        <v>194</v>
      </c>
      <c r="G3" s="14">
        <v>25.15</v>
      </c>
      <c r="H3" s="20" t="s">
        <v>24</v>
      </c>
      <c r="I3" s="120" t="str">
        <f t="shared" ref="I3:I14" si="3">I2</f>
        <v>creste fluxul uveo-scleral</v>
      </c>
      <c r="J3" s="113" t="str">
        <f t="shared" ref="J3:J14" si="4">J2</f>
        <v>25 - 35%</v>
      </c>
      <c r="K3" s="120" t="str">
        <f t="shared" ref="K3:K15" si="5">K2</f>
        <v>Lentile de contact (doar daca se repun dupa 15 minute de la administrarea tratamentului)</v>
      </c>
      <c r="L3" s="120" t="str">
        <f t="shared" ref="L3:L15" si="6">L2</f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4" spans="1:12" ht="24.95" customHeight="1" x14ac:dyDescent="0.25">
      <c r="A4" t="s">
        <v>1</v>
      </c>
      <c r="B4" s="148" t="str">
        <f t="shared" si="0"/>
        <v>ANALOGI DE PROSTAGLANDINE</v>
      </c>
      <c r="C4" s="143" t="str">
        <f t="shared" si="1"/>
        <v>Latanoprost 0.005%</v>
      </c>
      <c r="D4" s="137" t="str">
        <f t="shared" si="2"/>
        <v>Picaturi Oftalmice</v>
      </c>
      <c r="E4" s="13" t="s">
        <v>25</v>
      </c>
      <c r="F4" s="104" t="s">
        <v>192</v>
      </c>
      <c r="G4" s="105" t="str">
        <f>F4</f>
        <v>Nu se comercializeaza in Romania</v>
      </c>
      <c r="H4" s="20" t="s">
        <v>26</v>
      </c>
      <c r="I4" s="120" t="str">
        <f t="shared" si="3"/>
        <v>creste fluxul uveo-scleral</v>
      </c>
      <c r="J4" s="113" t="str">
        <f t="shared" si="4"/>
        <v>25 - 35%</v>
      </c>
      <c r="K4" s="120" t="str">
        <f t="shared" si="5"/>
        <v>Lentile de contact (doar daca se repun dupa 15 minute de la administrarea tratamentului)</v>
      </c>
      <c r="L4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5" spans="1:12" ht="24.95" customHeight="1" x14ac:dyDescent="0.25">
      <c r="A5" t="s">
        <v>1</v>
      </c>
      <c r="B5" s="148" t="str">
        <f t="shared" si="0"/>
        <v>ANALOGI DE PROSTAGLANDINE</v>
      </c>
      <c r="C5" s="143" t="str">
        <f t="shared" si="1"/>
        <v>Latanoprost 0.005%</v>
      </c>
      <c r="D5" s="137" t="str">
        <f t="shared" si="2"/>
        <v>Picaturi Oftalmice</v>
      </c>
      <c r="E5" s="13" t="s">
        <v>27</v>
      </c>
      <c r="F5" s="3">
        <v>0</v>
      </c>
      <c r="G5" s="14">
        <v>56.0726602424619</v>
      </c>
      <c r="H5" s="20" t="s">
        <v>28</v>
      </c>
      <c r="I5" s="120" t="str">
        <f t="shared" si="3"/>
        <v>creste fluxul uveo-scleral</v>
      </c>
      <c r="J5" s="113" t="str">
        <f t="shared" si="4"/>
        <v>25 - 35%</v>
      </c>
      <c r="K5" s="120" t="str">
        <f t="shared" si="5"/>
        <v>Lentile de contact (doar daca se repun dupa 15 minute de la administrarea tratamentului)</v>
      </c>
      <c r="L5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6" spans="1:12" ht="24.95" customHeight="1" x14ac:dyDescent="0.25">
      <c r="A6" t="s">
        <v>1</v>
      </c>
      <c r="B6" s="148" t="str">
        <f t="shared" si="0"/>
        <v>ANALOGI DE PROSTAGLANDINE</v>
      </c>
      <c r="C6" s="143" t="str">
        <f t="shared" si="1"/>
        <v>Latanoprost 0.005%</v>
      </c>
      <c r="D6" s="137" t="str">
        <f t="shared" si="2"/>
        <v>Picaturi Oftalmice</v>
      </c>
      <c r="E6" s="13" t="s">
        <v>31</v>
      </c>
      <c r="F6" s="3" t="s">
        <v>194</v>
      </c>
      <c r="G6" s="14">
        <v>31.77</v>
      </c>
      <c r="H6" s="20" t="s">
        <v>34</v>
      </c>
      <c r="I6" s="120" t="str">
        <f t="shared" si="3"/>
        <v>creste fluxul uveo-scleral</v>
      </c>
      <c r="J6" s="113" t="str">
        <f t="shared" si="4"/>
        <v>25 - 35%</v>
      </c>
      <c r="K6" s="120" t="str">
        <f t="shared" si="5"/>
        <v>Lentile de contact (doar daca se repun dupa 15 minute de la administrarea tratamentului)</v>
      </c>
      <c r="L6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7" spans="1:12" ht="24.95" customHeight="1" x14ac:dyDescent="0.25">
      <c r="A7" t="s">
        <v>1</v>
      </c>
      <c r="B7" s="148" t="str">
        <f t="shared" si="0"/>
        <v>ANALOGI DE PROSTAGLANDINE</v>
      </c>
      <c r="C7" s="143" t="str">
        <f t="shared" si="1"/>
        <v>Latanoprost 0.005%</v>
      </c>
      <c r="D7" s="137" t="str">
        <f t="shared" si="2"/>
        <v>Picaturi Oftalmice</v>
      </c>
      <c r="E7" s="13" t="s">
        <v>32</v>
      </c>
      <c r="F7" s="3">
        <v>7.26</v>
      </c>
      <c r="G7" s="14">
        <v>37.407109705513498</v>
      </c>
      <c r="H7" s="20" t="s">
        <v>35</v>
      </c>
      <c r="I7" s="120" t="str">
        <f t="shared" si="3"/>
        <v>creste fluxul uveo-scleral</v>
      </c>
      <c r="J7" s="113" t="str">
        <f t="shared" si="4"/>
        <v>25 - 35%</v>
      </c>
      <c r="K7" s="120" t="str">
        <f t="shared" si="5"/>
        <v>Lentile de contact (doar daca se repun dupa 15 minute de la administrarea tratamentului)</v>
      </c>
      <c r="L7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8" spans="1:12" ht="24.95" customHeight="1" x14ac:dyDescent="0.25">
      <c r="A8" t="s">
        <v>1</v>
      </c>
      <c r="B8" s="148" t="str">
        <f t="shared" si="0"/>
        <v>ANALOGI DE PROSTAGLANDINE</v>
      </c>
      <c r="C8" s="143" t="str">
        <f t="shared" si="1"/>
        <v>Latanoprost 0.005%</v>
      </c>
      <c r="D8" s="137" t="str">
        <f t="shared" si="2"/>
        <v>Picaturi Oftalmice</v>
      </c>
      <c r="E8" s="13" t="s">
        <v>33</v>
      </c>
      <c r="F8" s="104" t="s">
        <v>192</v>
      </c>
      <c r="G8" s="105" t="str">
        <f>F8</f>
        <v>Nu se comercializeaza in Romania</v>
      </c>
      <c r="H8" s="20" t="s">
        <v>36</v>
      </c>
      <c r="I8" s="120" t="str">
        <f t="shared" si="3"/>
        <v>creste fluxul uveo-scleral</v>
      </c>
      <c r="J8" s="113" t="str">
        <f t="shared" si="4"/>
        <v>25 - 35%</v>
      </c>
      <c r="K8" s="120" t="str">
        <f t="shared" si="5"/>
        <v>Lentile de contact (doar daca se repun dupa 15 minute de la administrarea tratamentului)</v>
      </c>
      <c r="L8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9" spans="1:12" ht="24.95" customHeight="1" thickBot="1" x14ac:dyDescent="0.3">
      <c r="A9" t="s">
        <v>1</v>
      </c>
      <c r="B9" s="148" t="str">
        <f t="shared" si="0"/>
        <v>ANALOGI DE PROSTAGLANDINE</v>
      </c>
      <c r="C9" s="144" t="str">
        <f t="shared" si="1"/>
        <v>Latanoprost 0.005%</v>
      </c>
      <c r="D9" s="156" t="str">
        <f t="shared" si="2"/>
        <v>Picaturi Oftalmice</v>
      </c>
      <c r="E9" s="101" t="s">
        <v>29</v>
      </c>
      <c r="F9" s="149">
        <v>0</v>
      </c>
      <c r="G9" s="54">
        <v>25.1460942475058</v>
      </c>
      <c r="H9" s="53" t="s">
        <v>30</v>
      </c>
      <c r="I9" s="120" t="str">
        <f t="shared" si="3"/>
        <v>creste fluxul uveo-scleral</v>
      </c>
      <c r="J9" s="113" t="str">
        <f t="shared" si="4"/>
        <v>25 - 35%</v>
      </c>
      <c r="K9" s="120" t="str">
        <f t="shared" si="5"/>
        <v>Lentile de contact (doar daca se repun dupa 15 minute de la administrarea tratamentului)</v>
      </c>
      <c r="L9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10" spans="1:12" ht="24.95" customHeight="1" thickBot="1" x14ac:dyDescent="0.3">
      <c r="A10" t="s">
        <v>1</v>
      </c>
      <c r="B10" s="148" t="str">
        <f t="shared" si="0"/>
        <v>ANALOGI DE PROSTAGLANDINE</v>
      </c>
      <c r="C10" s="46" t="s">
        <v>4</v>
      </c>
      <c r="D10" s="47" t="s">
        <v>19</v>
      </c>
      <c r="E10" s="99" t="s">
        <v>37</v>
      </c>
      <c r="F10" s="16" t="s">
        <v>194</v>
      </c>
      <c r="G10" s="100">
        <v>64.53</v>
      </c>
      <c r="H10" s="31" t="s">
        <v>38</v>
      </c>
      <c r="I10" s="120" t="str">
        <f t="shared" si="3"/>
        <v>creste fluxul uveo-scleral</v>
      </c>
      <c r="J10" s="113" t="str">
        <f t="shared" si="4"/>
        <v>25 - 35%</v>
      </c>
      <c r="K10" s="120" t="str">
        <f t="shared" si="5"/>
        <v>Lentile de contact (doar daca se repun dupa 15 minute de la administrarea tratamentului)</v>
      </c>
      <c r="L10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11" spans="1:12" ht="24.95" customHeight="1" x14ac:dyDescent="0.25">
      <c r="A11" t="s">
        <v>1</v>
      </c>
      <c r="B11" s="148" t="str">
        <f t="shared" si="0"/>
        <v>ANALOGI DE PROSTAGLANDINE</v>
      </c>
      <c r="C11" s="142" t="s">
        <v>5</v>
      </c>
      <c r="D11" s="155" t="s">
        <v>19</v>
      </c>
      <c r="E11" s="96" t="s">
        <v>39</v>
      </c>
      <c r="F11" s="95">
        <v>0</v>
      </c>
      <c r="G11" s="97">
        <v>33.44</v>
      </c>
      <c r="H11" s="98" t="s">
        <v>43</v>
      </c>
      <c r="I11" s="120" t="str">
        <f t="shared" si="3"/>
        <v>creste fluxul uveo-scleral</v>
      </c>
      <c r="J11" s="113" t="str">
        <f t="shared" si="4"/>
        <v>25 - 35%</v>
      </c>
      <c r="K11" s="120" t="str">
        <f t="shared" si="5"/>
        <v>Lentile de contact (doar daca se repun dupa 15 minute de la administrarea tratamentului)</v>
      </c>
      <c r="L11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12" spans="1:12" ht="24.95" customHeight="1" x14ac:dyDescent="0.25">
      <c r="A12" t="s">
        <v>1</v>
      </c>
      <c r="B12" s="148" t="str">
        <f t="shared" si="0"/>
        <v>ANALOGI DE PROSTAGLANDINE</v>
      </c>
      <c r="C12" s="143" t="str">
        <f t="shared" ref="C12:C14" si="7">C11</f>
        <v>Travoprost 0.003% - 0.004%</v>
      </c>
      <c r="D12" s="137" t="str">
        <f t="shared" ref="D12:D14" si="8">D11</f>
        <v>Picaturi Oftalmice</v>
      </c>
      <c r="E12" s="26" t="s">
        <v>40</v>
      </c>
      <c r="F12" s="3">
        <v>0</v>
      </c>
      <c r="G12" s="14">
        <v>87.620378896914104</v>
      </c>
      <c r="H12" s="20" t="s">
        <v>44</v>
      </c>
      <c r="I12" s="120" t="str">
        <f t="shared" si="3"/>
        <v>creste fluxul uveo-scleral</v>
      </c>
      <c r="J12" s="113" t="str">
        <f t="shared" si="4"/>
        <v>25 - 35%</v>
      </c>
      <c r="K12" s="120" t="str">
        <f t="shared" si="5"/>
        <v>Lentile de contact (doar daca se repun dupa 15 minute de la administrarea tratamentului)</v>
      </c>
      <c r="L12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13" spans="1:12" ht="24.95" customHeight="1" x14ac:dyDescent="0.25">
      <c r="A13" t="s">
        <v>1</v>
      </c>
      <c r="B13" s="148" t="str">
        <f t="shared" si="0"/>
        <v>ANALOGI DE PROSTAGLANDINE</v>
      </c>
      <c r="C13" s="143" t="str">
        <f t="shared" si="7"/>
        <v>Travoprost 0.003% - 0.004%</v>
      </c>
      <c r="D13" s="137" t="str">
        <f t="shared" si="8"/>
        <v>Picaturi Oftalmice</v>
      </c>
      <c r="E13" s="26" t="s">
        <v>41</v>
      </c>
      <c r="F13" s="3">
        <v>15.71</v>
      </c>
      <c r="G13" s="14">
        <v>55.84</v>
      </c>
      <c r="H13" s="20" t="s">
        <v>44</v>
      </c>
      <c r="I13" s="120" t="str">
        <f t="shared" si="3"/>
        <v>creste fluxul uveo-scleral</v>
      </c>
      <c r="J13" s="113" t="str">
        <f t="shared" si="4"/>
        <v>25 - 35%</v>
      </c>
      <c r="K13" s="120" t="str">
        <f t="shared" si="5"/>
        <v>Lentile de contact (doar daca se repun dupa 15 minute de la administrarea tratamentului)</v>
      </c>
      <c r="L13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14" spans="1:12" ht="24.95" customHeight="1" thickBot="1" x14ac:dyDescent="0.3">
      <c r="A14" t="s">
        <v>1</v>
      </c>
      <c r="B14" s="147" t="str">
        <f t="shared" si="0"/>
        <v>ANALOGI DE PROSTAGLANDINE</v>
      </c>
      <c r="C14" s="144" t="str">
        <f t="shared" si="7"/>
        <v>Travoprost 0.003% - 0.004%</v>
      </c>
      <c r="D14" s="156" t="str">
        <f t="shared" si="8"/>
        <v>Picaturi Oftalmice</v>
      </c>
      <c r="E14" s="56" t="s">
        <v>42</v>
      </c>
      <c r="F14" s="21">
        <v>0</v>
      </c>
      <c r="G14" s="30">
        <v>36.281401761976802</v>
      </c>
      <c r="H14" s="22" t="s">
        <v>45</v>
      </c>
      <c r="I14" s="121" t="str">
        <f t="shared" si="3"/>
        <v>creste fluxul uveo-scleral</v>
      </c>
      <c r="J14" s="114" t="str">
        <f t="shared" si="4"/>
        <v>25 - 35%</v>
      </c>
      <c r="K14" s="120" t="str">
        <f t="shared" si="5"/>
        <v>Lentile de contact (doar daca se repun dupa 15 minute de la administrarea tratamentului)</v>
      </c>
      <c r="L14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15" spans="1:12" ht="24.95" customHeight="1" thickBot="1" x14ac:dyDescent="0.3">
      <c r="A15" t="s">
        <v>1</v>
      </c>
      <c r="B15" s="115" t="s">
        <v>12</v>
      </c>
      <c r="C15" s="109" t="s">
        <v>13</v>
      </c>
      <c r="D15" s="28" t="s">
        <v>19</v>
      </c>
      <c r="E15" s="77" t="s">
        <v>46</v>
      </c>
      <c r="F15" s="153">
        <v>0</v>
      </c>
      <c r="G15" s="80">
        <v>42.793845177664998</v>
      </c>
      <c r="H15" s="81" t="s">
        <v>21</v>
      </c>
      <c r="I15" s="122" t="s">
        <v>6</v>
      </c>
      <c r="J15" s="112" t="s">
        <v>8</v>
      </c>
      <c r="K15" s="120" t="str">
        <f t="shared" si="5"/>
        <v>Lentile de contact (doar daca se repun dupa 15 minute de la administrarea tratamentului)</v>
      </c>
      <c r="L15" s="120" t="str">
        <f t="shared" si="6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16" spans="1:12" ht="24.95" customHeight="1" x14ac:dyDescent="0.25">
      <c r="A16" t="s">
        <v>1</v>
      </c>
      <c r="B16" s="116" t="str">
        <f t="shared" ref="B16:B17" si="9">B15</f>
        <v>PROSTAMIDE</v>
      </c>
      <c r="C16" s="122" t="s">
        <v>14</v>
      </c>
      <c r="D16" s="122" t="s">
        <v>19</v>
      </c>
      <c r="E16" s="78" t="s">
        <v>47</v>
      </c>
      <c r="F16" s="82">
        <v>0</v>
      </c>
      <c r="G16" s="18">
        <v>50.948027233180397</v>
      </c>
      <c r="H16" s="19" t="s">
        <v>21</v>
      </c>
      <c r="I16" s="120" t="str">
        <f t="shared" ref="I16:L17" si="10">I15</f>
        <v>creste fluxul uveo-scleral</v>
      </c>
      <c r="J16" s="113" t="str">
        <f t="shared" si="10"/>
        <v>25 - 35%</v>
      </c>
      <c r="K16" s="120" t="str">
        <f t="shared" si="10"/>
        <v>Lentile de contact (doar daca se repun dupa 15 minute de la administrarea tratamentului)</v>
      </c>
      <c r="L16" s="120" t="str">
        <f t="shared" si="10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17" spans="1:12" ht="24.95" customHeight="1" thickBot="1" x14ac:dyDescent="0.3">
      <c r="A17" t="s">
        <v>1</v>
      </c>
      <c r="B17" s="117" t="str">
        <f t="shared" si="9"/>
        <v>PROSTAMIDE</v>
      </c>
      <c r="C17" s="121" t="str">
        <f>C16</f>
        <v>Bimatoprost 0.01%</v>
      </c>
      <c r="D17" s="121" t="str">
        <f>D16</f>
        <v>Picaturi Oftalmice</v>
      </c>
      <c r="E17" s="79" t="s">
        <v>48</v>
      </c>
      <c r="F17" s="68">
        <v>13.29</v>
      </c>
      <c r="G17" s="54">
        <v>74.459014918574198</v>
      </c>
      <c r="H17" s="53" t="s">
        <v>49</v>
      </c>
      <c r="I17" s="121" t="str">
        <f t="shared" si="10"/>
        <v>creste fluxul uveo-scleral</v>
      </c>
      <c r="J17" s="114" t="str">
        <f t="shared" si="10"/>
        <v>25 - 35%</v>
      </c>
      <c r="K17" s="121" t="str">
        <f t="shared" si="10"/>
        <v>Lentile de contact (doar daca se repun dupa 15 minute de la administrarea tratamentului)</v>
      </c>
      <c r="L17" s="121" t="str">
        <f t="shared" si="10"/>
        <v>Local : Hiperemie conjunctivala, iritatii ale ochiului (senzatii de arsura, nisip in ochi, mancarime, intepatura sau de corp strain, modificarea treptata a culorii ochiului in portiunea colorata a acestuia (irisul), care poate deveni mai brun si mai inchis la culoare sau dintr-un amestec de culori -albastru-brun, gri-brun, verde-brun, galben-brun. Sistemic: Dispnee, angina pectorala, dureri de spate musculare, exacerbarea astmului.</v>
      </c>
    </row>
    <row r="18" spans="1:12" ht="24.95" customHeight="1" thickBot="1" x14ac:dyDescent="0.3">
      <c r="A18" t="s">
        <v>250</v>
      </c>
      <c r="B18" s="115" t="s">
        <v>80</v>
      </c>
      <c r="C18" s="46" t="s">
        <v>81</v>
      </c>
      <c r="D18" s="47" t="s">
        <v>19</v>
      </c>
      <c r="E18" s="48" t="s">
        <v>82</v>
      </c>
      <c r="F18" s="16">
        <v>0</v>
      </c>
      <c r="G18" s="43">
        <v>44.807991524699098</v>
      </c>
      <c r="H18" s="40" t="s">
        <v>44</v>
      </c>
      <c r="I18" s="125" t="s">
        <v>236</v>
      </c>
      <c r="J18" s="118">
        <v>0.2</v>
      </c>
      <c r="K18" s="122" t="s">
        <v>260</v>
      </c>
      <c r="L18" s="122" t="s">
        <v>265</v>
      </c>
    </row>
    <row r="19" spans="1:12" ht="24.95" customHeight="1" x14ac:dyDescent="0.25">
      <c r="A19" t="s">
        <v>250</v>
      </c>
      <c r="B19" s="116" t="str">
        <f>B18</f>
        <v>TOPICI</v>
      </c>
      <c r="C19" s="122" t="s">
        <v>83</v>
      </c>
      <c r="D19" s="142" t="s">
        <v>19</v>
      </c>
      <c r="E19" s="44" t="s">
        <v>84</v>
      </c>
      <c r="F19" s="17">
        <v>0</v>
      </c>
      <c r="G19" s="34">
        <v>14.53</v>
      </c>
      <c r="H19" s="42" t="s">
        <v>21</v>
      </c>
      <c r="I19" s="123" t="str">
        <f t="shared" ref="I19:L21" si="11">I18</f>
        <v>scade  productia de umoare apoasa</v>
      </c>
      <c r="J19" s="119">
        <f t="shared" si="11"/>
        <v>0.2</v>
      </c>
      <c r="K19" s="120" t="str">
        <f t="shared" si="11"/>
        <v>Pacienti cu numar scazut de celule endoteliale corneene, datorita riscului crescut de edem cornean</v>
      </c>
      <c r="L19" s="120" t="str">
        <f t="shared" si="11"/>
        <v>Local: arsura, durere, gust amar, punctat superficial, keratita, vedere incetosata, rupere. Sistemic: Cefalee, urticarie, angioedem, prurit, astenie, ameteli, parestezii si miopie tranzitorie</v>
      </c>
    </row>
    <row r="20" spans="1:12" ht="24.95" customHeight="1" x14ac:dyDescent="0.25">
      <c r="A20" t="s">
        <v>250</v>
      </c>
      <c r="B20" s="116" t="str">
        <f>B19</f>
        <v>TOPICI</v>
      </c>
      <c r="C20" s="120" t="str">
        <f>C19</f>
        <v>Dorzolamida 2%</v>
      </c>
      <c r="D20" s="143" t="str">
        <f>D19</f>
        <v>Picaturi Oftalmice</v>
      </c>
      <c r="E20" s="23" t="s">
        <v>85</v>
      </c>
      <c r="F20" s="3">
        <v>4.9000000000000004</v>
      </c>
      <c r="G20" s="24">
        <v>14.53</v>
      </c>
      <c r="H20" s="35" t="s">
        <v>38</v>
      </c>
      <c r="I20" s="123" t="str">
        <f t="shared" si="11"/>
        <v>scade  productia de umoare apoasa</v>
      </c>
      <c r="J20" s="119">
        <f t="shared" si="11"/>
        <v>0.2</v>
      </c>
      <c r="K20" s="120" t="str">
        <f t="shared" si="11"/>
        <v>Pacienti cu numar scazut de celule endoteliale corneene, datorita riscului crescut de edem cornean</v>
      </c>
      <c r="L20" s="120" t="str">
        <f t="shared" si="11"/>
        <v>Local: arsura, durere, gust amar, punctat superficial, keratita, vedere incetosata, rupere. Sistemic: Cefalee, urticarie, angioedem, prurit, astenie, ameteli, parestezii si miopie tranzitorie</v>
      </c>
    </row>
    <row r="21" spans="1:12" ht="24.95" customHeight="1" thickBot="1" x14ac:dyDescent="0.3">
      <c r="A21" t="s">
        <v>250</v>
      </c>
      <c r="B21" s="117" t="str">
        <f>B20</f>
        <v>TOPICI</v>
      </c>
      <c r="C21" s="121" t="str">
        <f>C20</f>
        <v>Dorzolamida 2%</v>
      </c>
      <c r="D21" s="144" t="str">
        <f>D20</f>
        <v>Picaturi Oftalmice</v>
      </c>
      <c r="E21" s="86" t="s">
        <v>196</v>
      </c>
      <c r="F21" s="149">
        <v>0</v>
      </c>
      <c r="G21" s="66">
        <v>22.318965046111799</v>
      </c>
      <c r="H21" s="67" t="s">
        <v>197</v>
      </c>
      <c r="I21" s="124" t="str">
        <f t="shared" si="11"/>
        <v>scade  productia de umoare apoasa</v>
      </c>
      <c r="J21" s="158">
        <f t="shared" si="11"/>
        <v>0.2</v>
      </c>
      <c r="K21" s="121" t="str">
        <f t="shared" si="11"/>
        <v>Pacienti cu numar scazut de celule endoteliale corneene, datorita riscului crescut de edem cornean</v>
      </c>
      <c r="L21" s="121" t="str">
        <f t="shared" si="11"/>
        <v>Local: arsura, durere, gust amar, punctat superficial, keratita, vedere incetosata, rupere. Sistemic: Cefalee, urticarie, angioedem, prurit, astenie, ameteli, parestezii si miopie tranzitorie</v>
      </c>
    </row>
    <row r="22" spans="1:12" ht="43.5" customHeight="1" thickBot="1" x14ac:dyDescent="0.3">
      <c r="A22" t="s">
        <v>250</v>
      </c>
      <c r="B22" s="115" t="s">
        <v>86</v>
      </c>
      <c r="C22" s="58" t="s">
        <v>87</v>
      </c>
      <c r="D22" s="145" t="s">
        <v>192</v>
      </c>
      <c r="E22" s="145" t="s">
        <v>192</v>
      </c>
      <c r="F22" s="145" t="s">
        <v>192</v>
      </c>
      <c r="G22" s="145" t="s">
        <v>192</v>
      </c>
      <c r="H22" s="145" t="s">
        <v>192</v>
      </c>
      <c r="I22" s="125" t="s">
        <v>234</v>
      </c>
      <c r="J22" s="122" t="s">
        <v>89</v>
      </c>
      <c r="K22" s="122" t="s">
        <v>266</v>
      </c>
      <c r="L22" s="122" t="s">
        <v>261</v>
      </c>
    </row>
    <row r="23" spans="1:12" ht="48.75" customHeight="1" thickBot="1" x14ac:dyDescent="0.3">
      <c r="A23" t="s">
        <v>250</v>
      </c>
      <c r="B23" s="116" t="str">
        <f>B22</f>
        <v>SISTEMICI</v>
      </c>
      <c r="C23" s="57" t="s">
        <v>226</v>
      </c>
      <c r="D23" s="145" t="s">
        <v>192</v>
      </c>
      <c r="E23" s="145" t="s">
        <v>192</v>
      </c>
      <c r="F23" s="145" t="s">
        <v>192</v>
      </c>
      <c r="G23" s="145" t="s">
        <v>192</v>
      </c>
      <c r="H23" s="145" t="s">
        <v>192</v>
      </c>
      <c r="I23" s="123" t="str">
        <f t="shared" ref="I23:L24" si="12">I22</f>
        <v>scade productia de umoare apoasa</v>
      </c>
      <c r="J23" s="120" t="str">
        <f t="shared" si="12"/>
        <v>30-40%</v>
      </c>
      <c r="K23" s="120" t="str">
        <f t="shared" si="12"/>
        <v>Depresia nivelului sanguin de sodiu si / sau potasiu, cazuri de boala sau disfunctie renala sau hepatica, insuficienta de glanda suprarenala, hiperchloremicidoza</v>
      </c>
      <c r="L23" s="120" t="str">
        <f t="shared" si="12"/>
        <v>Sistemic: parestezii, disfunctii auditive, tinitus, pierderea poftei de mancare, alterarea gustului greata, varsaturi, diaree, depresie, scaderea libidoului, pietre la rinichi, discrasii sanguine, acidoza metbolica, dezechilibru electrolitic.</v>
      </c>
    </row>
    <row r="24" spans="1:12" ht="54" customHeight="1" thickBot="1" x14ac:dyDescent="0.3">
      <c r="A24" t="s">
        <v>250</v>
      </c>
      <c r="B24" s="117" t="str">
        <f>B23</f>
        <v>SISTEMICI</v>
      </c>
      <c r="C24" s="7" t="s">
        <v>88</v>
      </c>
      <c r="D24" s="145" t="s">
        <v>192</v>
      </c>
      <c r="E24" s="145" t="s">
        <v>192</v>
      </c>
      <c r="F24" s="145" t="s">
        <v>192</v>
      </c>
      <c r="G24" s="145" t="s">
        <v>192</v>
      </c>
      <c r="H24" s="145" t="s">
        <v>192</v>
      </c>
      <c r="I24" s="124" t="str">
        <f t="shared" si="12"/>
        <v>scade productia de umoare apoasa</v>
      </c>
      <c r="J24" s="121" t="str">
        <f t="shared" si="12"/>
        <v>30-40%</v>
      </c>
      <c r="K24" s="121" t="str">
        <f t="shared" si="12"/>
        <v>Depresia nivelului sanguin de sodiu si / sau potasiu, cazuri de boala sau disfunctie renala sau hepatica, insuficienta de glanda suprarenala, hiperchloremicidoza</v>
      </c>
      <c r="L24" s="121" t="str">
        <f t="shared" si="12"/>
        <v>Sistemic: parestezii, disfunctii auditive, tinitus, pierderea poftei de mancare, alterarea gustului greata, varsaturi, diaree, depresie, scaderea libidoului, pietre la rinichi, discrasii sanguine, acidoza metbolica, dezechilibru electrolitic.</v>
      </c>
    </row>
    <row r="25" spans="1:12" ht="24.95" customHeight="1" thickBot="1" x14ac:dyDescent="0.3">
      <c r="A25" t="s">
        <v>200</v>
      </c>
      <c r="B25" s="165" t="s">
        <v>217</v>
      </c>
      <c r="C25" s="166" t="s">
        <v>201</v>
      </c>
      <c r="D25" s="167" t="s">
        <v>19</v>
      </c>
      <c r="E25" s="168" t="s">
        <v>277</v>
      </c>
      <c r="F25" s="169">
        <v>0</v>
      </c>
      <c r="G25" s="169">
        <v>46.63</v>
      </c>
      <c r="H25" s="170" t="s">
        <v>21</v>
      </c>
      <c r="I25" s="171" t="s">
        <v>278</v>
      </c>
      <c r="J25" s="172"/>
      <c r="K25" s="173" t="s">
        <v>233</v>
      </c>
      <c r="L25" s="174" t="s">
        <v>237</v>
      </c>
    </row>
    <row r="26" spans="1:12" ht="24.95" customHeight="1" thickBot="1" x14ac:dyDescent="0.3">
      <c r="A26" t="s">
        <v>200</v>
      </c>
      <c r="B26" s="175" t="s">
        <v>217</v>
      </c>
      <c r="C26" s="166" t="s">
        <v>201</v>
      </c>
      <c r="D26" s="176" t="s">
        <v>19</v>
      </c>
      <c r="E26" s="177" t="s">
        <v>202</v>
      </c>
      <c r="F26" s="178">
        <v>0</v>
      </c>
      <c r="G26" s="178">
        <v>69.36</v>
      </c>
      <c r="H26" s="179" t="s">
        <v>49</v>
      </c>
      <c r="I26" s="171" t="s">
        <v>278</v>
      </c>
      <c r="J26" s="180"/>
      <c r="K26" s="173" t="s">
        <v>233</v>
      </c>
      <c r="L26" s="174" t="s">
        <v>237</v>
      </c>
    </row>
    <row r="27" spans="1:12" s="4" customFormat="1" ht="24.75" customHeight="1" thickBot="1" x14ac:dyDescent="0.3">
      <c r="A27" t="s">
        <v>200</v>
      </c>
      <c r="B27" s="181" t="s">
        <v>218</v>
      </c>
      <c r="C27" s="182" t="s">
        <v>203</v>
      </c>
      <c r="D27" s="183" t="s">
        <v>19</v>
      </c>
      <c r="E27" s="184" t="s">
        <v>279</v>
      </c>
      <c r="F27" s="185">
        <v>0</v>
      </c>
      <c r="G27" s="186">
        <v>29</v>
      </c>
      <c r="H27" s="187" t="s">
        <v>21</v>
      </c>
      <c r="I27" s="188" t="s">
        <v>278</v>
      </c>
      <c r="J27" s="189"/>
      <c r="K27" s="173" t="s">
        <v>233</v>
      </c>
      <c r="L27" s="174" t="s">
        <v>237</v>
      </c>
    </row>
    <row r="28" spans="1:12" ht="24.95" customHeight="1" thickBot="1" x14ac:dyDescent="0.3">
      <c r="A28" t="s">
        <v>200</v>
      </c>
      <c r="B28" s="181" t="s">
        <v>218</v>
      </c>
      <c r="C28" s="182" t="s">
        <v>203</v>
      </c>
      <c r="D28" s="183" t="s">
        <v>19</v>
      </c>
      <c r="E28" s="190" t="s">
        <v>213</v>
      </c>
      <c r="F28" s="170">
        <v>0</v>
      </c>
      <c r="G28" s="191">
        <v>28.98</v>
      </c>
      <c r="H28" s="192" t="s">
        <v>24</v>
      </c>
      <c r="I28" s="188" t="s">
        <v>278</v>
      </c>
      <c r="J28" s="193"/>
      <c r="K28" s="173" t="s">
        <v>233</v>
      </c>
      <c r="L28" s="174" t="s">
        <v>237</v>
      </c>
    </row>
    <row r="29" spans="1:12" ht="24.95" customHeight="1" thickBot="1" x14ac:dyDescent="0.3">
      <c r="A29" t="s">
        <v>200</v>
      </c>
      <c r="B29" s="194" t="s">
        <v>218</v>
      </c>
      <c r="C29" s="195" t="s">
        <v>203</v>
      </c>
      <c r="D29" s="183" t="s">
        <v>19</v>
      </c>
      <c r="E29" s="184" t="s">
        <v>214</v>
      </c>
      <c r="F29" s="183" t="s">
        <v>192</v>
      </c>
      <c r="G29" s="183" t="s">
        <v>192</v>
      </c>
      <c r="H29" s="196" t="s">
        <v>26</v>
      </c>
      <c r="I29" s="188" t="s">
        <v>278</v>
      </c>
      <c r="J29" s="185"/>
      <c r="K29" s="173" t="s">
        <v>233</v>
      </c>
      <c r="L29" s="174" t="s">
        <v>237</v>
      </c>
    </row>
    <row r="30" spans="1:12" ht="24.95" customHeight="1" thickBot="1" x14ac:dyDescent="0.3">
      <c r="A30" t="s">
        <v>200</v>
      </c>
      <c r="B30" s="194" t="s">
        <v>218</v>
      </c>
      <c r="C30" s="195" t="s">
        <v>203</v>
      </c>
      <c r="D30" s="183" t="s">
        <v>19</v>
      </c>
      <c r="E30" s="197" t="s">
        <v>215</v>
      </c>
      <c r="F30" s="198">
        <v>8.39</v>
      </c>
      <c r="G30" s="199">
        <v>28.95</v>
      </c>
      <c r="H30" s="200" t="s">
        <v>35</v>
      </c>
      <c r="I30" s="188" t="s">
        <v>278</v>
      </c>
      <c r="J30" s="201"/>
      <c r="K30" s="173" t="s">
        <v>233</v>
      </c>
      <c r="L30" s="174" t="s">
        <v>237</v>
      </c>
    </row>
    <row r="31" spans="1:12" ht="24.95" customHeight="1" thickBot="1" x14ac:dyDescent="0.3">
      <c r="A31" t="s">
        <v>200</v>
      </c>
      <c r="B31" s="194" t="s">
        <v>218</v>
      </c>
      <c r="C31" s="195" t="s">
        <v>203</v>
      </c>
      <c r="D31" s="183" t="s">
        <v>19</v>
      </c>
      <c r="E31" s="197" t="s">
        <v>216</v>
      </c>
      <c r="F31" s="202" t="s">
        <v>192</v>
      </c>
      <c r="G31" s="202" t="s">
        <v>192</v>
      </c>
      <c r="H31" s="200" t="s">
        <v>36</v>
      </c>
      <c r="I31" s="188" t="s">
        <v>278</v>
      </c>
      <c r="J31" s="201"/>
      <c r="K31" s="173" t="s">
        <v>233</v>
      </c>
      <c r="L31" s="174" t="s">
        <v>237</v>
      </c>
    </row>
    <row r="32" spans="1:12" ht="24.95" customHeight="1" thickBot="1" x14ac:dyDescent="0.3">
      <c r="A32" t="s">
        <v>200</v>
      </c>
      <c r="B32" s="203" t="s">
        <v>218</v>
      </c>
      <c r="C32" s="204" t="s">
        <v>204</v>
      </c>
      <c r="D32" s="205" t="s">
        <v>19</v>
      </c>
      <c r="E32" s="197" t="s">
        <v>219</v>
      </c>
      <c r="F32" s="198">
        <v>0</v>
      </c>
      <c r="G32" s="199">
        <v>62.808257184438901</v>
      </c>
      <c r="H32" s="200" t="s">
        <v>44</v>
      </c>
      <c r="I32" s="188" t="s">
        <v>278</v>
      </c>
      <c r="J32" s="201"/>
      <c r="K32" s="173" t="s">
        <v>233</v>
      </c>
      <c r="L32" s="174" t="s">
        <v>237</v>
      </c>
    </row>
    <row r="33" spans="1:12" ht="24.95" customHeight="1" thickBot="1" x14ac:dyDescent="0.3">
      <c r="A33" t="s">
        <v>200</v>
      </c>
      <c r="B33" s="203" t="s">
        <v>218</v>
      </c>
      <c r="C33" s="206" t="s">
        <v>212</v>
      </c>
      <c r="D33" s="205" t="s">
        <v>192</v>
      </c>
      <c r="E33" s="207" t="s">
        <v>192</v>
      </c>
      <c r="F33" s="208" t="s">
        <v>192</v>
      </c>
      <c r="G33" s="208" t="s">
        <v>192</v>
      </c>
      <c r="H33" s="209" t="s">
        <v>192</v>
      </c>
      <c r="I33" s="188" t="s">
        <v>278</v>
      </c>
      <c r="J33" s="210"/>
      <c r="K33" s="173" t="s">
        <v>233</v>
      </c>
      <c r="L33" s="174" t="s">
        <v>237</v>
      </c>
    </row>
    <row r="34" spans="1:12" ht="24.95" customHeight="1" thickBot="1" x14ac:dyDescent="0.3">
      <c r="A34" t="s">
        <v>200</v>
      </c>
      <c r="B34" s="203" t="s">
        <v>248</v>
      </c>
      <c r="C34" s="195" t="s">
        <v>206</v>
      </c>
      <c r="D34" s="185" t="s">
        <v>19</v>
      </c>
      <c r="E34" s="184" t="s">
        <v>220</v>
      </c>
      <c r="F34" s="205">
        <v>4.2</v>
      </c>
      <c r="G34" s="211">
        <v>35.869710765999699</v>
      </c>
      <c r="H34" s="196" t="s">
        <v>38</v>
      </c>
      <c r="I34" s="188" t="s">
        <v>236</v>
      </c>
      <c r="J34" s="185"/>
      <c r="K34" s="173" t="s">
        <v>233</v>
      </c>
      <c r="L34" s="174" t="s">
        <v>237</v>
      </c>
    </row>
    <row r="35" spans="1:12" ht="24.95" customHeight="1" thickBot="1" x14ac:dyDescent="0.3">
      <c r="A35" t="s">
        <v>200</v>
      </c>
      <c r="B35" s="203" t="s">
        <v>248</v>
      </c>
      <c r="C35" s="195" t="s">
        <v>206</v>
      </c>
      <c r="D35" s="185" t="s">
        <v>19</v>
      </c>
      <c r="E35" s="190" t="s">
        <v>221</v>
      </c>
      <c r="F35" s="207">
        <v>0</v>
      </c>
      <c r="G35" s="212">
        <v>26.367296721747898</v>
      </c>
      <c r="H35" s="213" t="s">
        <v>223</v>
      </c>
      <c r="I35" s="188" t="s">
        <v>236</v>
      </c>
      <c r="J35" s="201"/>
      <c r="K35" s="173" t="s">
        <v>233</v>
      </c>
      <c r="L35" s="174" t="s">
        <v>237</v>
      </c>
    </row>
    <row r="36" spans="1:12" ht="24.95" customHeight="1" thickBot="1" x14ac:dyDescent="0.3">
      <c r="A36" t="s">
        <v>200</v>
      </c>
      <c r="B36" s="203" t="s">
        <v>248</v>
      </c>
      <c r="C36" s="214" t="s">
        <v>247</v>
      </c>
      <c r="D36" s="167" t="s">
        <v>19</v>
      </c>
      <c r="E36" s="215" t="s">
        <v>224</v>
      </c>
      <c r="F36" s="170">
        <v>0</v>
      </c>
      <c r="G36" s="191">
        <v>58.001568482344702</v>
      </c>
      <c r="H36" s="216" t="s">
        <v>44</v>
      </c>
      <c r="I36" s="188" t="s">
        <v>236</v>
      </c>
      <c r="J36" s="210"/>
      <c r="K36" s="173" t="s">
        <v>233</v>
      </c>
      <c r="L36" s="174" t="s">
        <v>237</v>
      </c>
    </row>
    <row r="37" spans="1:12" ht="24.75" customHeight="1" thickBot="1" x14ac:dyDescent="0.3">
      <c r="A37" t="s">
        <v>200</v>
      </c>
      <c r="B37" s="217" t="s">
        <v>228</v>
      </c>
      <c r="C37" s="206" t="s">
        <v>211</v>
      </c>
      <c r="D37" s="218" t="s">
        <v>19</v>
      </c>
      <c r="E37" s="219" t="s">
        <v>245</v>
      </c>
      <c r="F37" s="220">
        <v>65.89</v>
      </c>
      <c r="G37" s="221">
        <v>65.89</v>
      </c>
      <c r="H37" s="222" t="s">
        <v>246</v>
      </c>
      <c r="I37" s="223" t="s">
        <v>236</v>
      </c>
      <c r="J37" s="189"/>
      <c r="K37" s="173" t="s">
        <v>233</v>
      </c>
      <c r="L37" s="174" t="s">
        <v>237</v>
      </c>
    </row>
    <row r="38" spans="1:12" ht="24.95" customHeight="1" thickBot="1" x14ac:dyDescent="0.3">
      <c r="A38" t="s">
        <v>200</v>
      </c>
      <c r="B38" s="217" t="s">
        <v>222</v>
      </c>
      <c r="C38" s="166" t="s">
        <v>205</v>
      </c>
      <c r="D38" s="170" t="s">
        <v>19</v>
      </c>
      <c r="E38" s="224" t="s">
        <v>229</v>
      </c>
      <c r="F38" s="167" t="s">
        <v>192</v>
      </c>
      <c r="G38" s="225" t="s">
        <v>192</v>
      </c>
      <c r="H38" s="224" t="s">
        <v>230</v>
      </c>
      <c r="I38" s="188" t="s">
        <v>280</v>
      </c>
      <c r="J38" s="193"/>
      <c r="K38" s="173" t="s">
        <v>233</v>
      </c>
      <c r="L38" s="174" t="s">
        <v>237</v>
      </c>
    </row>
    <row r="39" spans="1:12" ht="24.95" customHeight="1" thickBot="1" x14ac:dyDescent="0.3">
      <c r="A39" t="s">
        <v>200</v>
      </c>
      <c r="B39" s="203" t="s">
        <v>225</v>
      </c>
      <c r="C39" s="226" t="s">
        <v>207</v>
      </c>
      <c r="D39" s="174" t="s">
        <v>192</v>
      </c>
      <c r="E39" s="174" t="s">
        <v>192</v>
      </c>
      <c r="F39" s="174" t="s">
        <v>192</v>
      </c>
      <c r="G39" s="174" t="s">
        <v>192</v>
      </c>
      <c r="H39" s="174" t="s">
        <v>192</v>
      </c>
      <c r="I39" s="189"/>
      <c r="J39" s="185"/>
      <c r="K39" s="173" t="s">
        <v>233</v>
      </c>
      <c r="L39" s="174" t="s">
        <v>237</v>
      </c>
    </row>
    <row r="40" spans="1:12" ht="24.95" customHeight="1" thickBot="1" x14ac:dyDescent="0.3">
      <c r="A40" t="s">
        <v>200</v>
      </c>
      <c r="B40" s="203" t="s">
        <v>225</v>
      </c>
      <c r="C40" s="227" t="s">
        <v>208</v>
      </c>
      <c r="D40" s="174" t="s">
        <v>192</v>
      </c>
      <c r="E40" s="174" t="s">
        <v>192</v>
      </c>
      <c r="F40" s="174" t="s">
        <v>192</v>
      </c>
      <c r="G40" s="174" t="s">
        <v>192</v>
      </c>
      <c r="H40" s="174" t="s">
        <v>192</v>
      </c>
      <c r="I40" s="228"/>
      <c r="J40" s="201"/>
      <c r="K40" s="173" t="s">
        <v>233</v>
      </c>
      <c r="L40" s="174" t="s">
        <v>237</v>
      </c>
    </row>
    <row r="41" spans="1:12" ht="24.95" customHeight="1" thickBot="1" x14ac:dyDescent="0.3">
      <c r="A41" t="s">
        <v>200</v>
      </c>
      <c r="B41" s="229" t="s">
        <v>225</v>
      </c>
      <c r="C41" s="227" t="s">
        <v>209</v>
      </c>
      <c r="D41" s="174" t="s">
        <v>192</v>
      </c>
      <c r="E41" s="174" t="s">
        <v>192</v>
      </c>
      <c r="F41" s="174" t="s">
        <v>192</v>
      </c>
      <c r="G41" s="174" t="s">
        <v>192</v>
      </c>
      <c r="H41" s="174" t="s">
        <v>192</v>
      </c>
      <c r="I41" s="228"/>
      <c r="J41" s="201"/>
      <c r="K41" s="173" t="s">
        <v>233</v>
      </c>
      <c r="L41" s="174" t="s">
        <v>237</v>
      </c>
    </row>
    <row r="42" spans="1:12" ht="24.95" customHeight="1" thickBot="1" x14ac:dyDescent="0.3">
      <c r="A42" t="s">
        <v>200</v>
      </c>
      <c r="B42" s="217" t="s">
        <v>227</v>
      </c>
      <c r="C42" s="230" t="s">
        <v>210</v>
      </c>
      <c r="D42" s="174" t="s">
        <v>192</v>
      </c>
      <c r="E42" s="174" t="s">
        <v>192</v>
      </c>
      <c r="F42" s="174" t="s">
        <v>192</v>
      </c>
      <c r="G42" s="174" t="s">
        <v>192</v>
      </c>
      <c r="H42" s="174" t="s">
        <v>192</v>
      </c>
      <c r="I42" s="231"/>
      <c r="J42" s="210"/>
      <c r="K42" s="173" t="s">
        <v>233</v>
      </c>
      <c r="L42" s="174" t="s">
        <v>237</v>
      </c>
    </row>
    <row r="43" spans="1:12" ht="24.95" customHeight="1" x14ac:dyDescent="0.25">
      <c r="A43" t="s">
        <v>249</v>
      </c>
      <c r="B43" s="115" t="s">
        <v>69</v>
      </c>
      <c r="C43" s="122" t="s">
        <v>50</v>
      </c>
      <c r="D43" s="142" t="s">
        <v>19</v>
      </c>
      <c r="E43" s="44" t="s">
        <v>51</v>
      </c>
      <c r="F43" s="17">
        <v>0</v>
      </c>
      <c r="G43" s="18">
        <v>3.11</v>
      </c>
      <c r="H43" s="19" t="s">
        <v>21</v>
      </c>
      <c r="I43" s="125" t="s">
        <v>273</v>
      </c>
      <c r="J43" s="122" t="s">
        <v>72</v>
      </c>
      <c r="K43" s="122" t="s">
        <v>264</v>
      </c>
      <c r="L43" s="122" t="s">
        <v>259</v>
      </c>
    </row>
    <row r="44" spans="1:12" ht="24.95" customHeight="1" x14ac:dyDescent="0.25">
      <c r="A44" t="s">
        <v>249</v>
      </c>
      <c r="B44" s="116" t="str">
        <f t="shared" ref="B44:B55" si="13">B43</f>
        <v>NESELECTIVI</v>
      </c>
      <c r="C44" s="120" t="str">
        <f t="shared" ref="C44:C48" si="14">C43</f>
        <v>Timolol 0.1-0.25-0.5%</v>
      </c>
      <c r="D44" s="143" t="str">
        <f t="shared" ref="D44:D46" si="15">D43</f>
        <v>Picaturi Oftalmice</v>
      </c>
      <c r="E44" s="23" t="s">
        <v>52</v>
      </c>
      <c r="F44" s="3">
        <v>0</v>
      </c>
      <c r="G44" s="14">
        <v>4.9671804251112199</v>
      </c>
      <c r="H44" s="20" t="s">
        <v>21</v>
      </c>
      <c r="I44" s="123" t="str">
        <f t="shared" ref="I44:I54" si="16">I43</f>
        <v>scade productiei de umoare apoasa</v>
      </c>
      <c r="J44" s="120" t="str">
        <f t="shared" ref="J44:J54" si="17">J43</f>
        <v>20-25%</v>
      </c>
      <c r="K44" s="120" t="str">
        <f t="shared" ref="K44:K54" si="18">K43</f>
        <v>Astm bronsic, istoric de COPD, bradicardie sinusala (&lt; 60 batai / minut) blocaj cardiac sau insuficienta cardiaca</v>
      </c>
      <c r="L44" s="120" t="str">
        <f t="shared" ref="L44:L54" si="19">L43</f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45" spans="1:12" ht="24.95" customHeight="1" x14ac:dyDescent="0.25">
      <c r="A45" t="s">
        <v>249</v>
      </c>
      <c r="B45" s="116" t="str">
        <f t="shared" si="13"/>
        <v>NESELECTIVI</v>
      </c>
      <c r="C45" s="120" t="str">
        <f t="shared" si="14"/>
        <v>Timolol 0.1-0.25-0.5%</v>
      </c>
      <c r="D45" s="143" t="str">
        <f t="shared" si="15"/>
        <v>Picaturi Oftalmice</v>
      </c>
      <c r="E45" s="23" t="s">
        <v>53</v>
      </c>
      <c r="F45" s="3">
        <v>0</v>
      </c>
      <c r="G45" s="14">
        <v>3.12735692771084</v>
      </c>
      <c r="H45" s="83" t="s">
        <v>195</v>
      </c>
      <c r="I45" s="123" t="str">
        <f t="shared" si="16"/>
        <v>scade productiei de umoare apoasa</v>
      </c>
      <c r="J45" s="120" t="str">
        <f t="shared" si="17"/>
        <v>20-25%</v>
      </c>
      <c r="K45" s="120" t="str">
        <f t="shared" si="18"/>
        <v>Astm bronsic, istoric de COPD, bradicardie sinusala (&lt; 60 batai / minut) blocaj cardiac sau insuficienta cardiaca</v>
      </c>
      <c r="L45" s="120" t="str">
        <f t="shared" si="19"/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46" spans="1:12" ht="24.95" customHeight="1" thickBot="1" x14ac:dyDescent="0.3">
      <c r="A46" t="s">
        <v>249</v>
      </c>
      <c r="B46" s="116" t="str">
        <f t="shared" si="13"/>
        <v>NESELECTIVI</v>
      </c>
      <c r="C46" s="120" t="str">
        <f t="shared" si="14"/>
        <v>Timolol 0.1-0.25-0.5%</v>
      </c>
      <c r="D46" s="144" t="str">
        <f t="shared" si="15"/>
        <v>Picaturi Oftalmice</v>
      </c>
      <c r="E46" s="45" t="s">
        <v>54</v>
      </c>
      <c r="F46" s="21">
        <v>0</v>
      </c>
      <c r="G46" s="30">
        <v>5.2980039155971301</v>
      </c>
      <c r="H46" s="84" t="s">
        <v>195</v>
      </c>
      <c r="I46" s="123" t="str">
        <f t="shared" si="16"/>
        <v>scade productiei de umoare apoasa</v>
      </c>
      <c r="J46" s="120" t="str">
        <f t="shared" si="17"/>
        <v>20-25%</v>
      </c>
      <c r="K46" s="120" t="str">
        <f t="shared" si="18"/>
        <v>Astm bronsic, istoric de COPD, bradicardie sinusala (&lt; 60 batai / minut) blocaj cardiac sau insuficienta cardiaca</v>
      </c>
      <c r="L46" s="120" t="str">
        <f t="shared" si="19"/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47" spans="1:12" ht="24.95" customHeight="1" thickBot="1" x14ac:dyDescent="0.3">
      <c r="A47" t="s">
        <v>249</v>
      </c>
      <c r="B47" s="116" t="str">
        <f t="shared" si="13"/>
        <v>NESELECTIVI</v>
      </c>
      <c r="C47" s="120" t="str">
        <f t="shared" si="14"/>
        <v>Timolol 0.1-0.25-0.5%</v>
      </c>
      <c r="D47" s="46" t="s">
        <v>57</v>
      </c>
      <c r="E47" s="48" t="s">
        <v>56</v>
      </c>
      <c r="F47" s="128" t="s">
        <v>192</v>
      </c>
      <c r="G47" s="129" t="str">
        <f t="shared" ref="G47:G50" si="20">F47</f>
        <v>Nu se comercializeaza in Romania</v>
      </c>
      <c r="H47" s="31" t="s">
        <v>44</v>
      </c>
      <c r="I47" s="123" t="str">
        <f t="shared" si="16"/>
        <v>scade productiei de umoare apoasa</v>
      </c>
      <c r="J47" s="120" t="str">
        <f t="shared" si="17"/>
        <v>20-25%</v>
      </c>
      <c r="K47" s="120" t="str">
        <f t="shared" si="18"/>
        <v>Astm bronsic, istoric de COPD, bradicardie sinusala (&lt; 60 batai / minut) blocaj cardiac sau insuficienta cardiaca</v>
      </c>
      <c r="L47" s="120" t="str">
        <f t="shared" si="19"/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48" spans="1:12" ht="24.95" customHeight="1" thickBot="1" x14ac:dyDescent="0.3">
      <c r="A48" t="s">
        <v>249</v>
      </c>
      <c r="B48" s="116" t="str">
        <f t="shared" si="13"/>
        <v>NESELECTIVI</v>
      </c>
      <c r="C48" s="121" t="str">
        <f t="shared" si="14"/>
        <v>Timolol 0.1-0.25-0.5%</v>
      </c>
      <c r="D48" s="46" t="s">
        <v>59</v>
      </c>
      <c r="E48" s="48" t="s">
        <v>58</v>
      </c>
      <c r="F48" s="128" t="s">
        <v>192</v>
      </c>
      <c r="G48" s="129" t="str">
        <f t="shared" si="20"/>
        <v>Nu se comercializeaza in Romania</v>
      </c>
      <c r="H48" s="31" t="s">
        <v>38</v>
      </c>
      <c r="I48" s="123" t="str">
        <f t="shared" si="16"/>
        <v>scade productiei de umoare apoasa</v>
      </c>
      <c r="J48" s="120" t="str">
        <f t="shared" si="17"/>
        <v>20-25%</v>
      </c>
      <c r="K48" s="120" t="str">
        <f t="shared" si="18"/>
        <v>Astm bronsic, istoric de COPD, bradicardie sinusala (&lt; 60 batai / minut) blocaj cardiac sau insuficienta cardiaca</v>
      </c>
      <c r="L48" s="120" t="str">
        <f t="shared" si="19"/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49" spans="1:12" ht="24.95" customHeight="1" thickBot="1" x14ac:dyDescent="0.3">
      <c r="A49" t="s">
        <v>249</v>
      </c>
      <c r="B49" s="116" t="str">
        <f t="shared" si="13"/>
        <v>NESELECTIVI</v>
      </c>
      <c r="C49" s="28" t="s">
        <v>60</v>
      </c>
      <c r="D49" s="120" t="s">
        <v>19</v>
      </c>
      <c r="E49" s="51" t="str">
        <f t="shared" ref="E49:E50" si="21">E48</f>
        <v>TIMOPTIC COLLYRIUM .5% 5ML</v>
      </c>
      <c r="F49" s="128" t="s">
        <v>192</v>
      </c>
      <c r="G49" s="129" t="str">
        <f t="shared" si="20"/>
        <v>Nu se comercializeaza in Romania</v>
      </c>
      <c r="H49" s="52" t="str">
        <f t="shared" ref="H49:H50" si="22">H48</f>
        <v>SANTEN</v>
      </c>
      <c r="I49" s="123" t="str">
        <f t="shared" si="16"/>
        <v>scade productiei de umoare apoasa</v>
      </c>
      <c r="J49" s="120" t="str">
        <f t="shared" si="17"/>
        <v>20-25%</v>
      </c>
      <c r="K49" s="120" t="str">
        <f t="shared" si="18"/>
        <v>Astm bronsic, istoric de COPD, bradicardie sinusala (&lt; 60 batai / minut) blocaj cardiac sau insuficienta cardiaca</v>
      </c>
      <c r="L49" s="120" t="str">
        <f t="shared" si="19"/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50" spans="1:12" ht="24.95" customHeight="1" thickBot="1" x14ac:dyDescent="0.3">
      <c r="A50" t="s">
        <v>249</v>
      </c>
      <c r="B50" s="116" t="str">
        <f t="shared" si="13"/>
        <v>NESELECTIVI</v>
      </c>
      <c r="C50" s="28" t="s">
        <v>61</v>
      </c>
      <c r="D50" s="28" t="s">
        <v>19</v>
      </c>
      <c r="E50" s="85" t="str">
        <f t="shared" si="21"/>
        <v>TIMOPTIC COLLYRIUM .5% 5ML</v>
      </c>
      <c r="F50" s="128" t="s">
        <v>192</v>
      </c>
      <c r="G50" s="129" t="str">
        <f t="shared" si="20"/>
        <v>Nu se comercializeaza in Romania</v>
      </c>
      <c r="H50" s="33" t="str">
        <f t="shared" si="22"/>
        <v>SANTEN</v>
      </c>
      <c r="I50" s="123" t="str">
        <f t="shared" si="16"/>
        <v>scade productiei de umoare apoasa</v>
      </c>
      <c r="J50" s="120" t="str">
        <f t="shared" si="17"/>
        <v>20-25%</v>
      </c>
      <c r="K50" s="120" t="str">
        <f t="shared" si="18"/>
        <v>Astm bronsic, istoric de COPD, bradicardie sinusala (&lt; 60 batai / minut) blocaj cardiac sau insuficienta cardiaca</v>
      </c>
      <c r="L50" s="120" t="str">
        <f t="shared" si="19"/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51" spans="1:12" ht="24.95" customHeight="1" x14ac:dyDescent="0.25">
      <c r="A51" t="s">
        <v>249</v>
      </c>
      <c r="B51" s="116" t="str">
        <f t="shared" si="13"/>
        <v>NESELECTIVI</v>
      </c>
      <c r="C51" s="122" t="s">
        <v>62</v>
      </c>
      <c r="D51" s="142" t="s">
        <v>19</v>
      </c>
      <c r="E51" s="44" t="s">
        <v>63</v>
      </c>
      <c r="F51" s="17">
        <v>0</v>
      </c>
      <c r="G51" s="18">
        <v>10.89</v>
      </c>
      <c r="H51" s="19" t="s">
        <v>24</v>
      </c>
      <c r="I51" s="123" t="str">
        <f t="shared" si="16"/>
        <v>scade productiei de umoare apoasa</v>
      </c>
      <c r="J51" s="120" t="str">
        <f t="shared" si="17"/>
        <v>20-25%</v>
      </c>
      <c r="K51" s="120" t="str">
        <f t="shared" si="18"/>
        <v>Astm bronsic, istoric de COPD, bradicardie sinusala (&lt; 60 batai / minut) blocaj cardiac sau insuficienta cardiaca</v>
      </c>
      <c r="L51" s="120" t="str">
        <f t="shared" si="19"/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52" spans="1:12" ht="24.95" customHeight="1" x14ac:dyDescent="0.25">
      <c r="A52" t="s">
        <v>249</v>
      </c>
      <c r="B52" s="116" t="str">
        <f t="shared" si="13"/>
        <v>NESELECTIVI</v>
      </c>
      <c r="C52" s="120" t="str">
        <f t="shared" ref="C52:C54" si="23">C51</f>
        <v>Carteolol 05-2.0%</v>
      </c>
      <c r="D52" s="143" t="str">
        <f t="shared" ref="D52:D54" si="24">D51</f>
        <v>Picaturi Oftalmice</v>
      </c>
      <c r="E52" s="23" t="s">
        <v>64</v>
      </c>
      <c r="F52" s="104" t="s">
        <v>192</v>
      </c>
      <c r="G52" s="105" t="str">
        <f t="shared" ref="G52:G56" si="25">F52</f>
        <v>Nu se comercializeaza in Romania</v>
      </c>
      <c r="H52" s="20" t="s">
        <v>67</v>
      </c>
      <c r="I52" s="123" t="str">
        <f t="shared" si="16"/>
        <v>scade productiei de umoare apoasa</v>
      </c>
      <c r="J52" s="120" t="str">
        <f t="shared" si="17"/>
        <v>20-25%</v>
      </c>
      <c r="K52" s="120" t="str">
        <f t="shared" si="18"/>
        <v>Astm bronsic, istoric de COPD, bradicardie sinusala (&lt; 60 batai / minut) blocaj cardiac sau insuficienta cardiaca</v>
      </c>
      <c r="L52" s="120" t="str">
        <f t="shared" si="19"/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53" spans="1:12" ht="24.95" customHeight="1" x14ac:dyDescent="0.25">
      <c r="A53" t="s">
        <v>249</v>
      </c>
      <c r="B53" s="116" t="str">
        <f t="shared" si="13"/>
        <v>NESELECTIVI</v>
      </c>
      <c r="C53" s="120" t="str">
        <f t="shared" si="23"/>
        <v>Carteolol 05-2.0%</v>
      </c>
      <c r="D53" s="143" t="str">
        <f t="shared" si="24"/>
        <v>Picaturi Oftalmice</v>
      </c>
      <c r="E53" s="23" t="s">
        <v>65</v>
      </c>
      <c r="F53" s="104" t="s">
        <v>192</v>
      </c>
      <c r="G53" s="105" t="str">
        <f t="shared" si="25"/>
        <v>Nu se comercializeaza in Romania</v>
      </c>
      <c r="H53" s="20" t="s">
        <v>67</v>
      </c>
      <c r="I53" s="123" t="str">
        <f t="shared" si="16"/>
        <v>scade productiei de umoare apoasa</v>
      </c>
      <c r="J53" s="120" t="str">
        <f t="shared" si="17"/>
        <v>20-25%</v>
      </c>
      <c r="K53" s="120" t="str">
        <f t="shared" si="18"/>
        <v>Astm bronsic, istoric de COPD, bradicardie sinusala (&lt; 60 batai / minut) blocaj cardiac sau insuficienta cardiaca</v>
      </c>
      <c r="L53" s="120" t="str">
        <f t="shared" si="19"/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54" spans="1:12" ht="24.95" customHeight="1" thickBot="1" x14ac:dyDescent="0.3">
      <c r="A54" t="s">
        <v>249</v>
      </c>
      <c r="B54" s="116" t="str">
        <f t="shared" si="13"/>
        <v>NESELECTIVI</v>
      </c>
      <c r="C54" s="121" t="str">
        <f t="shared" si="23"/>
        <v>Carteolol 05-2.0%</v>
      </c>
      <c r="D54" s="144" t="str">
        <f t="shared" si="24"/>
        <v>Picaturi Oftalmice</v>
      </c>
      <c r="E54" s="45" t="s">
        <v>66</v>
      </c>
      <c r="F54" s="126" t="s">
        <v>192</v>
      </c>
      <c r="G54" s="127" t="str">
        <f t="shared" si="25"/>
        <v>Nu se comercializeaza in Romania</v>
      </c>
      <c r="H54" s="22" t="s">
        <v>24</v>
      </c>
      <c r="I54" s="123" t="str">
        <f t="shared" si="16"/>
        <v>scade productiei de umoare apoasa</v>
      </c>
      <c r="J54" s="120" t="str">
        <f t="shared" si="17"/>
        <v>20-25%</v>
      </c>
      <c r="K54" s="120" t="str">
        <f t="shared" si="18"/>
        <v>Astm bronsic, istoric de COPD, bradicardie sinusala (&lt; 60 batai / minut) blocaj cardiac sau insuficienta cardiaca</v>
      </c>
      <c r="L54" s="120" t="str">
        <f t="shared" si="19"/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55" spans="1:12" ht="24.95" customHeight="1" thickBot="1" x14ac:dyDescent="0.3">
      <c r="A55" t="s">
        <v>249</v>
      </c>
      <c r="B55" s="117" t="str">
        <f t="shared" si="13"/>
        <v>NESELECTIVI</v>
      </c>
      <c r="C55" s="50" t="s">
        <v>68</v>
      </c>
      <c r="D55" s="5" t="s">
        <v>19</v>
      </c>
      <c r="E55" s="51" t="str">
        <f>E54</f>
        <v>FORTINOL EP EYE DROPS 2% 3 3ML</v>
      </c>
      <c r="F55" s="128" t="s">
        <v>192</v>
      </c>
      <c r="G55" s="129" t="str">
        <f t="shared" si="25"/>
        <v>Nu se comercializeaza in Romania</v>
      </c>
      <c r="H55" s="52" t="str">
        <f t="shared" ref="H55:L55" si="26">H54</f>
        <v>VALEANT*</v>
      </c>
      <c r="I55" s="124" t="str">
        <f t="shared" si="26"/>
        <v>scade productiei de umoare apoasa</v>
      </c>
      <c r="J55" s="121" t="str">
        <f t="shared" si="26"/>
        <v>20-25%</v>
      </c>
      <c r="K55" s="121" t="str">
        <f t="shared" si="26"/>
        <v>Astm bronsic, istoric de COPD, bradicardie sinusala (&lt; 60 batai / minut) blocaj cardiac sau insuficienta cardiaca</v>
      </c>
      <c r="L55" s="121" t="str">
        <f t="shared" si="26"/>
        <v>Local: Hiperemie conjunctivala, SPK, sindrom de ochi uscat, anestezia corneana, blefaroconjunctivita alergica.    Sistemic: bradicardie, aritmie, insuficienta cardiaca, sincopa, bronhospasm, obstructie a cailor respiratorii, edem distal, hipotensiune arteriala. Hipoglicemia poate fi mascata in diabetul zaharat dependent de insulina, hipotensiunea sistemica nocturna, depresia, disfunctia sexuala</v>
      </c>
    </row>
    <row r="56" spans="1:12" ht="24.95" customHeight="1" thickBot="1" x14ac:dyDescent="0.3">
      <c r="A56" t="s">
        <v>249</v>
      </c>
      <c r="B56" s="115" t="s">
        <v>70</v>
      </c>
      <c r="C56" s="122" t="s">
        <v>71</v>
      </c>
      <c r="D56" s="142" t="s">
        <v>19</v>
      </c>
      <c r="E56" s="44" t="s">
        <v>77</v>
      </c>
      <c r="F56" s="132" t="s">
        <v>192</v>
      </c>
      <c r="G56" s="133" t="str">
        <f t="shared" si="25"/>
        <v>Nu se comercializeaza in Romania</v>
      </c>
      <c r="H56" s="42" t="s">
        <v>21</v>
      </c>
      <c r="I56" s="125" t="s">
        <v>274</v>
      </c>
      <c r="J56" s="163" t="s">
        <v>256</v>
      </c>
      <c r="K56" s="122" t="s">
        <v>264</v>
      </c>
      <c r="L56" s="122" t="s">
        <v>193</v>
      </c>
    </row>
    <row r="57" spans="1:12" ht="24.95" customHeight="1" thickBot="1" x14ac:dyDescent="0.3">
      <c r="A57" t="s">
        <v>249</v>
      </c>
      <c r="B57" s="116" t="str">
        <f t="shared" ref="B57:B60" si="27">B56</f>
        <v>BETA-1-SELECTIVI</v>
      </c>
      <c r="C57" s="120" t="str">
        <f t="shared" ref="C57:C60" si="28">C56</f>
        <v>Betaxolol 0.5%</v>
      </c>
      <c r="D57" s="143" t="str">
        <f t="shared" ref="D57:D58" si="29">D56</f>
        <v>Picaturi Oftalmice</v>
      </c>
      <c r="E57" s="23" t="s">
        <v>73</v>
      </c>
      <c r="F57" s="3">
        <v>6.43</v>
      </c>
      <c r="G57" s="24">
        <v>12.768135891913101</v>
      </c>
      <c r="H57" s="35" t="s">
        <v>44</v>
      </c>
      <c r="I57" s="123" t="str">
        <f t="shared" ref="I57:L60" si="30">I56</f>
        <v>Reducerea productiei de umoare apoasa</v>
      </c>
      <c r="J57" s="163" t="s">
        <v>256</v>
      </c>
      <c r="K57" s="120" t="str">
        <f t="shared" si="30"/>
        <v>Astm bronsic, istoric de COPD, bradicardie sinusala (&lt; 60 batai / minut) blocaj cardiac sau insuficienta cardiaca</v>
      </c>
      <c r="L57" s="120" t="str">
        <f t="shared" si="30"/>
        <v xml:space="preserve">Local: arsuri, intepaturi. Systemic:efecte secundare cardiace si respiratorii, depresie disfunctie erectila </v>
      </c>
    </row>
    <row r="58" spans="1:12" ht="24.95" customHeight="1" thickBot="1" x14ac:dyDescent="0.3">
      <c r="A58" t="s">
        <v>249</v>
      </c>
      <c r="B58" s="116" t="str">
        <f t="shared" si="27"/>
        <v>BETA-1-SELECTIVI</v>
      </c>
      <c r="C58" s="120" t="str">
        <f t="shared" si="28"/>
        <v>Betaxolol 0.5%</v>
      </c>
      <c r="D58" s="144" t="str">
        <f t="shared" si="29"/>
        <v>Picaturi Oftalmice</v>
      </c>
      <c r="E58" s="45" t="s">
        <v>74</v>
      </c>
      <c r="F58" s="21">
        <v>0</v>
      </c>
      <c r="G58" s="36">
        <v>15.327475218658901</v>
      </c>
      <c r="H58" s="37" t="s">
        <v>44</v>
      </c>
      <c r="I58" s="123" t="str">
        <f t="shared" si="30"/>
        <v>Reducerea productiei de umoare apoasa</v>
      </c>
      <c r="J58" s="163" t="s">
        <v>256</v>
      </c>
      <c r="K58" s="120" t="str">
        <f t="shared" si="30"/>
        <v>Astm bronsic, istoric de COPD, bradicardie sinusala (&lt; 60 batai / minut) blocaj cardiac sau insuficienta cardiaca</v>
      </c>
      <c r="L58" s="120" t="str">
        <f t="shared" si="30"/>
        <v xml:space="preserve">Local: arsuri, intepaturi. Systemic:efecte secundare cardiace si respiratorii, depresie disfunctie erectila </v>
      </c>
    </row>
    <row r="59" spans="1:12" ht="24.95" customHeight="1" thickBot="1" x14ac:dyDescent="0.3">
      <c r="A59" t="s">
        <v>249</v>
      </c>
      <c r="B59" s="116" t="str">
        <f t="shared" si="27"/>
        <v>BETA-1-SELECTIVI</v>
      </c>
      <c r="C59" s="120" t="str">
        <f t="shared" si="28"/>
        <v>Betaxolol 0.5%</v>
      </c>
      <c r="D59" s="142" t="s">
        <v>79</v>
      </c>
      <c r="E59" s="44" t="s">
        <v>75</v>
      </c>
      <c r="F59" s="17">
        <v>1.68</v>
      </c>
      <c r="G59" s="34">
        <v>9.9623851825168099</v>
      </c>
      <c r="H59" s="42" t="s">
        <v>45</v>
      </c>
      <c r="I59" s="123" t="str">
        <f t="shared" si="30"/>
        <v>Reducerea productiei de umoare apoasa</v>
      </c>
      <c r="J59" s="163" t="s">
        <v>256</v>
      </c>
      <c r="K59" s="120" t="str">
        <f t="shared" si="30"/>
        <v>Astm bronsic, istoric de COPD, bradicardie sinusala (&lt; 60 batai / minut) blocaj cardiac sau insuficienta cardiaca</v>
      </c>
      <c r="L59" s="120" t="str">
        <f t="shared" si="30"/>
        <v xml:space="preserve">Local: arsuri, intepaturi. Systemic:efecte secundare cardiace si respiratorii, depresie disfunctie erectila </v>
      </c>
    </row>
    <row r="60" spans="1:12" ht="24.95" customHeight="1" thickBot="1" x14ac:dyDescent="0.3">
      <c r="A60" t="s">
        <v>249</v>
      </c>
      <c r="B60" s="117" t="str">
        <f t="shared" si="27"/>
        <v>BETA-1-SELECTIVI</v>
      </c>
      <c r="C60" s="121" t="str">
        <f t="shared" si="28"/>
        <v>Betaxolol 0.5%</v>
      </c>
      <c r="D60" s="144" t="str">
        <f>D59</f>
        <v>Comprimate filmate</v>
      </c>
      <c r="E60" s="45" t="s">
        <v>76</v>
      </c>
      <c r="F60" s="126" t="s">
        <v>192</v>
      </c>
      <c r="G60" s="127" t="str">
        <f>F60</f>
        <v>Nu se comercializeaza in Romania</v>
      </c>
      <c r="H60" s="37" t="s">
        <v>78</v>
      </c>
      <c r="I60" s="124" t="str">
        <f t="shared" si="30"/>
        <v>Reducerea productiei de umoare apoasa</v>
      </c>
      <c r="J60" s="163" t="s">
        <v>256</v>
      </c>
      <c r="K60" s="121" t="str">
        <f t="shared" si="30"/>
        <v>Astm bronsic, istoric de COPD, bradicardie sinusala (&lt; 60 batai / minut) blocaj cardiac sau insuficienta cardiaca</v>
      </c>
      <c r="L60" s="121" t="str">
        <f t="shared" si="30"/>
        <v xml:space="preserve">Local: arsuri, intepaturi. Systemic:efecte secundare cardiace si respiratorii, depresie disfunctie erectila </v>
      </c>
    </row>
    <row r="61" spans="1:12" ht="24.95" customHeight="1" thickBot="1" x14ac:dyDescent="0.3">
      <c r="A61" t="s">
        <v>276</v>
      </c>
      <c r="B61" s="122" t="s">
        <v>90</v>
      </c>
      <c r="C61" s="142" t="s">
        <v>91</v>
      </c>
      <c r="D61" s="155" t="s">
        <v>255</v>
      </c>
      <c r="E61" s="32" t="s">
        <v>255</v>
      </c>
      <c r="F61" s="128" t="s">
        <v>192</v>
      </c>
      <c r="G61" s="129" t="str">
        <f>F61</f>
        <v>Nu se comercializeaza in Romania</v>
      </c>
      <c r="H61" s="41" t="s">
        <v>255</v>
      </c>
      <c r="I61" s="61" t="s">
        <v>234</v>
      </c>
      <c r="J61" s="27" t="s">
        <v>97</v>
      </c>
      <c r="K61" s="122" t="s">
        <v>262</v>
      </c>
      <c r="L61" s="142" t="s">
        <v>267</v>
      </c>
    </row>
    <row r="62" spans="1:12" ht="24.95" customHeight="1" x14ac:dyDescent="0.25">
      <c r="A62" t="str">
        <f t="shared" ref="A62:A66" si="31">A61</f>
        <v>ANTAGONISTI SELECTIVE ALFA 2 - ADRENERGICI</v>
      </c>
      <c r="B62" s="120" t="str">
        <f t="shared" ref="B62:B66" si="32">B61</f>
        <v>ALPHA 2 - SELECTIVI</v>
      </c>
      <c r="C62" s="122" t="s">
        <v>94</v>
      </c>
      <c r="D62" s="142" t="s">
        <v>19</v>
      </c>
      <c r="E62" s="55" t="s">
        <v>93</v>
      </c>
      <c r="F62" s="17" t="s">
        <v>194</v>
      </c>
      <c r="G62" s="17">
        <v>46.74</v>
      </c>
      <c r="H62" s="42" t="s">
        <v>34</v>
      </c>
      <c r="I62" s="125" t="s">
        <v>235</v>
      </c>
      <c r="J62" s="122" t="s">
        <v>98</v>
      </c>
      <c r="K62" s="120" t="str">
        <f t="shared" ref="K62:L62" si="33">K61</f>
        <v>Utilizatorii de inhibitori ai monoaminooxidazei orale (MAO), copii, greutatea corporala foarte scazuta la adulti</v>
      </c>
      <c r="L62" s="143" t="str">
        <f t="shared" si="33"/>
        <v>Local: retragerea capului, blancare conjunctivala, midriaza limitata, blefaroconjunctivita alergica, dermatita de contact perioculara, alergie sau hipersensibilitate intarziata. Sistemice: senzatie de gura si nas uscate, hipotensiune sistemica, bradicardie, oboseala, somnolenta</v>
      </c>
    </row>
    <row r="63" spans="1:12" ht="24.95" customHeight="1" thickBot="1" x14ac:dyDescent="0.3">
      <c r="A63" t="str">
        <f t="shared" si="31"/>
        <v>ANTAGONISTI SELECTIVE ALFA 2 - ADRENERGICI</v>
      </c>
      <c r="B63" s="120" t="str">
        <f t="shared" si="32"/>
        <v>ALPHA 2 - SELECTIVI</v>
      </c>
      <c r="C63" s="120" t="str">
        <f t="shared" ref="C63:C64" si="34">C62</f>
        <v>Brimonidina 0.2%</v>
      </c>
      <c r="D63" s="144" t="str">
        <f>D62</f>
        <v>Picaturi Oftalmice</v>
      </c>
      <c r="E63" s="102" t="s">
        <v>232</v>
      </c>
      <c r="F63" s="103" t="str">
        <f t="shared" ref="F63:G63" si="35">F62</f>
        <v>Nu se compenseaza</v>
      </c>
      <c r="G63" s="154">
        <f t="shared" si="35"/>
        <v>46.74</v>
      </c>
      <c r="H63" s="67" t="s">
        <v>231</v>
      </c>
      <c r="I63" s="123" t="str">
        <f t="shared" ref="I63:I64" si="36">I62</f>
        <v>scade productia de umoare apoasa si creste fluxul uveo-scleral</v>
      </c>
      <c r="J63" s="120" t="str">
        <f t="shared" ref="J63:L65" si="37">J62</f>
        <v>18-25%</v>
      </c>
      <c r="K63" s="120" t="str">
        <f t="shared" si="37"/>
        <v>Utilizatorii de inhibitori ai monoaminooxidazei orale (MAO), copii, greutatea corporala foarte scazuta la adulti</v>
      </c>
      <c r="L63" s="143" t="str">
        <f t="shared" si="37"/>
        <v>Local: retragerea capului, blancare conjunctivala, midriaza limitata, blefaroconjunctivita alergica, dermatita de contact perioculara, alergie sau hipersensibilitate intarziata. Sistemice: senzatie de gura si nas uscate, hipotensiune sistemica, bradicardie, oboseala, somnolenta</v>
      </c>
    </row>
    <row r="64" spans="1:12" ht="24.95" customHeight="1" thickBot="1" x14ac:dyDescent="0.3">
      <c r="A64" t="str">
        <f t="shared" si="31"/>
        <v>ANTAGONISTI SELECTIVE ALFA 2 - ADRENERGICI</v>
      </c>
      <c r="B64" s="120" t="str">
        <f t="shared" si="32"/>
        <v>ALPHA 2 - SELECTIVI</v>
      </c>
      <c r="C64" s="121" t="str">
        <f t="shared" si="34"/>
        <v>Brimonidina 0.2%</v>
      </c>
      <c r="D64" s="46" t="s">
        <v>57</v>
      </c>
      <c r="E64" s="99" t="s">
        <v>92</v>
      </c>
      <c r="F64" s="128" t="s">
        <v>192</v>
      </c>
      <c r="G64" s="129" t="str">
        <f t="shared" ref="G64" si="38">F64</f>
        <v>Nu se comercializeaza in Romania</v>
      </c>
      <c r="H64" s="40" t="s">
        <v>95</v>
      </c>
      <c r="I64" s="124" t="str">
        <f t="shared" si="36"/>
        <v>scade productia de umoare apoasa si creste fluxul uveo-scleral</v>
      </c>
      <c r="J64" s="120" t="str">
        <f t="shared" si="37"/>
        <v>18-25%</v>
      </c>
      <c r="K64" s="120" t="str">
        <f t="shared" si="37"/>
        <v>Utilizatorii de inhibitori ai monoaminooxidazei orale (MAO), copii, greutatea corporala foarte scazuta la adulti</v>
      </c>
      <c r="L64" s="143" t="str">
        <f t="shared" si="37"/>
        <v>Local: retragerea capului, blancare conjunctivala, midriaza limitata, blefaroconjunctivita alergica, dermatita de contact perioculara, alergie sau hipersensibilitate intarziata. Sistemice: senzatie de gura si nas uscate, hipotensiune sistemica, bradicardie, oboseala, somnolenta</v>
      </c>
    </row>
    <row r="65" spans="1:12" ht="24.95" customHeight="1" x14ac:dyDescent="0.25">
      <c r="A65" t="str">
        <f t="shared" si="31"/>
        <v>ANTAGONISTI SELECTIVE ALFA 2 - ADRENERGICI</v>
      </c>
      <c r="B65" s="120" t="str">
        <f t="shared" si="32"/>
        <v>ALPHA 2 - SELECTIVI</v>
      </c>
      <c r="C65" s="122" t="s">
        <v>99</v>
      </c>
      <c r="D65" s="142" t="s">
        <v>102</v>
      </c>
      <c r="E65" s="55" t="s">
        <v>100</v>
      </c>
      <c r="F65" s="17" t="s">
        <v>194</v>
      </c>
      <c r="G65" s="18">
        <v>12.795240809347399</v>
      </c>
      <c r="H65" s="42" t="s">
        <v>103</v>
      </c>
      <c r="I65" s="125" t="s">
        <v>234</v>
      </c>
      <c r="J65" s="120" t="str">
        <f t="shared" si="37"/>
        <v>18-25%</v>
      </c>
      <c r="K65" s="120" t="str">
        <f t="shared" si="37"/>
        <v>Utilizatorii de inhibitori ai monoaminooxidazei orale (MAO), copii, greutatea corporala foarte scazuta la adulti</v>
      </c>
      <c r="L65" s="143" t="str">
        <f t="shared" si="37"/>
        <v>Local: retragerea capului, blancare conjunctivala, midriaza limitata, blefaroconjunctivita alergica, dermatita de contact perioculara, alergie sau hipersensibilitate intarziata. Sistemice: senzatie de gura si nas uscate, hipotensiune sistemica, bradicardie, oboseala, somnolenta</v>
      </c>
    </row>
    <row r="66" spans="1:12" ht="24.95" customHeight="1" thickBot="1" x14ac:dyDescent="0.3">
      <c r="A66" t="str">
        <f t="shared" si="31"/>
        <v>ANTAGONISTI SELECTIVE ALFA 2 - ADRENERGICI</v>
      </c>
      <c r="B66" s="121" t="str">
        <f t="shared" si="32"/>
        <v>ALPHA 2 - SELECTIVI</v>
      </c>
      <c r="C66" s="121" t="str">
        <f>C65</f>
        <v>Clonidina 0.125 - 0.5%</v>
      </c>
      <c r="D66" s="144" t="str">
        <f>D65</f>
        <v>Comprimate</v>
      </c>
      <c r="E66" s="56" t="s">
        <v>101</v>
      </c>
      <c r="F66" s="21" t="s">
        <v>194</v>
      </c>
      <c r="G66" s="30">
        <v>11.894027527792501</v>
      </c>
      <c r="H66" s="37" t="s">
        <v>104</v>
      </c>
      <c r="I66" s="124" t="str">
        <f t="shared" ref="I66:L66" si="39">I65</f>
        <v>scade productia de umoare apoasa</v>
      </c>
      <c r="J66" s="121" t="str">
        <f t="shared" si="39"/>
        <v>18-25%</v>
      </c>
      <c r="K66" s="121" t="str">
        <f t="shared" si="39"/>
        <v>Utilizatorii de inhibitori ai monoaminooxidazei orale (MAO), copii, greutatea corporala foarte scazuta la adulti</v>
      </c>
      <c r="L66" s="144" t="str">
        <f t="shared" si="39"/>
        <v>Local: retragerea capului, blancare conjunctivala, midriaza limitata, blefaroconjunctivita alergica, dermatita de contact perioculara, alergie sau hipersensibilitate intarziata. Sistemice: senzatie de gura si nas uscate, hipotensiune sistemica, bradicardie, oboseala, somnolenta</v>
      </c>
    </row>
    <row r="67" spans="1:12" ht="24.95" customHeight="1" x14ac:dyDescent="0.25">
      <c r="A67" t="s">
        <v>251</v>
      </c>
      <c r="B67" s="122" t="s">
        <v>69</v>
      </c>
      <c r="C67" s="122" t="s">
        <v>105</v>
      </c>
      <c r="D67" s="130" t="s">
        <v>110</v>
      </c>
      <c r="E67" s="44" t="s">
        <v>106</v>
      </c>
      <c r="F67" s="17" t="s">
        <v>194</v>
      </c>
      <c r="G67" s="34">
        <v>174.31110556787399</v>
      </c>
      <c r="H67" s="42" t="s">
        <v>112</v>
      </c>
      <c r="I67" s="125" t="s">
        <v>114</v>
      </c>
      <c r="J67" s="122" t="s">
        <v>116</v>
      </c>
      <c r="K67" s="122" t="s">
        <v>263</v>
      </c>
      <c r="L67" s="122" t="s">
        <v>268</v>
      </c>
    </row>
    <row r="68" spans="1:12" ht="24.95" customHeight="1" thickBot="1" x14ac:dyDescent="0.3">
      <c r="A68" t="s">
        <v>251</v>
      </c>
      <c r="B68" s="120" t="str">
        <f t="shared" ref="B68:B71" si="40">B67</f>
        <v>NESELECTIVI</v>
      </c>
      <c r="C68" s="120" t="str">
        <f t="shared" ref="C68:C70" si="41">C67</f>
        <v>Epinephrina 0.25 - 2.0%</v>
      </c>
      <c r="D68" s="131" t="str">
        <f>D67</f>
        <v>AMP.</v>
      </c>
      <c r="E68" s="45" t="s">
        <v>107</v>
      </c>
      <c r="F68" s="126" t="s">
        <v>192</v>
      </c>
      <c r="G68" s="127" t="str">
        <f>F68</f>
        <v>Nu se comercializeaza in Romania</v>
      </c>
      <c r="H68" s="37" t="s">
        <v>112</v>
      </c>
      <c r="I68" s="123" t="str">
        <f t="shared" ref="I68:L71" si="42">I67</f>
        <v>Reduce productia de umoare apoasa si poate creste fluxul uveo-scleral</v>
      </c>
      <c r="J68" s="120" t="str">
        <f t="shared" si="42"/>
        <v>15 - 20%</v>
      </c>
      <c r="K68" s="120" t="str">
        <f t="shared" si="42"/>
        <v>ocluri oclutabile (necesar iridotomiei) Pacienti afecti (edem macular)</v>
      </c>
      <c r="L68" s="120" t="str">
        <f t="shared" si="42"/>
        <v>Local: hiperemie conjuctivala, pigmentare conjuctiva, arsura, durere oculara, vedere incetosata, edem macular. Sistemic: hipertensiune sistemica, cefalee, anxietate, confuzie, durere toracica, dificultati de respiratie, tahicardie, transpiratie.</v>
      </c>
    </row>
    <row r="69" spans="1:12" ht="24.95" customHeight="1" x14ac:dyDescent="0.25">
      <c r="A69" t="s">
        <v>251</v>
      </c>
      <c r="B69" s="120" t="str">
        <f t="shared" si="40"/>
        <v>NESELECTIVI</v>
      </c>
      <c r="C69" s="120" t="str">
        <f t="shared" si="41"/>
        <v>Epinephrina 0.25 - 2.0%</v>
      </c>
      <c r="D69" s="130" t="s">
        <v>111</v>
      </c>
      <c r="E69" s="44" t="s">
        <v>108</v>
      </c>
      <c r="F69" s="17" t="s">
        <v>194</v>
      </c>
      <c r="G69" s="34">
        <v>178.040594059406</v>
      </c>
      <c r="H69" s="42" t="s">
        <v>113</v>
      </c>
      <c r="I69" s="123" t="str">
        <f t="shared" si="42"/>
        <v>Reduce productia de umoare apoasa si poate creste fluxul uveo-scleral</v>
      </c>
      <c r="J69" s="120" t="str">
        <f t="shared" si="42"/>
        <v>15 - 20%</v>
      </c>
      <c r="K69" s="120" t="str">
        <f t="shared" si="42"/>
        <v>ocluri oclutabile (necesar iridotomiei) Pacienti afecti (edem macular)</v>
      </c>
      <c r="L69" s="120" t="str">
        <f t="shared" si="42"/>
        <v>Local: hiperemie conjuctivala, pigmentare conjuctiva, arsura, durere oculara, vedere incetosata, edem macular. Sistemic: hipertensiune sistemica, cefalee, anxietate, confuzie, durere toracica, dificultati de respiratie, tahicardie, transpiratie.</v>
      </c>
    </row>
    <row r="70" spans="1:12" ht="24.95" customHeight="1" thickBot="1" x14ac:dyDescent="0.3">
      <c r="A70" t="s">
        <v>251</v>
      </c>
      <c r="B70" s="120" t="str">
        <f t="shared" si="40"/>
        <v>NESELECTIVI</v>
      </c>
      <c r="C70" s="121" t="str">
        <f t="shared" si="41"/>
        <v>Epinephrina 0.25 - 2.0%</v>
      </c>
      <c r="D70" s="131" t="str">
        <f>D69</f>
        <v>PREFIL.PEN</v>
      </c>
      <c r="E70" s="49" t="s">
        <v>109</v>
      </c>
      <c r="F70" s="15" t="s">
        <v>194</v>
      </c>
      <c r="G70" s="38">
        <v>178.162691131499</v>
      </c>
      <c r="H70" s="39" t="s">
        <v>113</v>
      </c>
      <c r="I70" s="123" t="str">
        <f t="shared" si="42"/>
        <v>Reduce productia de umoare apoasa si poate creste fluxul uveo-scleral</v>
      </c>
      <c r="J70" s="120" t="str">
        <f t="shared" si="42"/>
        <v>15 - 20%</v>
      </c>
      <c r="K70" s="120" t="str">
        <f t="shared" si="42"/>
        <v>ocluri oclutabile (necesar iridotomiei) Pacienti afecti (edem macular)</v>
      </c>
      <c r="L70" s="120" t="str">
        <f t="shared" si="42"/>
        <v>Local: hiperemie conjuctivala, pigmentare conjuctiva, arsura, durere oculara, vedere incetosata, edem macular. Sistemic: hipertensiune sistemica, cefalee, anxietate, confuzie, durere toracica, dificultati de respiratie, tahicardie, transpiratie.</v>
      </c>
    </row>
    <row r="71" spans="1:12" ht="24.95" customHeight="1" thickBot="1" x14ac:dyDescent="0.3">
      <c r="A71" t="s">
        <v>251</v>
      </c>
      <c r="B71" s="121" t="str">
        <f t="shared" si="40"/>
        <v>NESELECTIVI</v>
      </c>
      <c r="C71" s="69" t="s">
        <v>115</v>
      </c>
      <c r="D71" s="155" t="s">
        <v>255</v>
      </c>
      <c r="E71" s="60" t="s">
        <v>255</v>
      </c>
      <c r="F71" s="128" t="s">
        <v>192</v>
      </c>
      <c r="G71" s="129" t="str">
        <f t="shared" ref="G71:G76" si="43">F71</f>
        <v>Nu se comercializeaza in Romania</v>
      </c>
      <c r="H71" s="33" t="s">
        <v>255</v>
      </c>
      <c r="I71" s="124" t="str">
        <f t="shared" si="42"/>
        <v>Reduce productia de umoare apoasa si poate creste fluxul uveo-scleral</v>
      </c>
      <c r="J71" s="121" t="str">
        <f t="shared" si="42"/>
        <v>15 - 20%</v>
      </c>
      <c r="K71" s="121" t="str">
        <f t="shared" si="42"/>
        <v>ocluri oclutabile (necesar iridotomiei) Pacienti afecti (edem macular)</v>
      </c>
      <c r="L71" s="121" t="str">
        <f t="shared" si="42"/>
        <v>Local: hiperemie conjuctivala, pigmentare conjuctiva, arsura, durere oculara, vedere incetosata, edem macular. Sistemic: hipertensiune sistemica, cefalee, anxietate, confuzie, durere toracica, dificultati de respiratie, tahicardie, transpiratie.</v>
      </c>
    </row>
    <row r="72" spans="1:12" ht="24.95" customHeight="1" thickBot="1" x14ac:dyDescent="0.3">
      <c r="A72" t="s">
        <v>252</v>
      </c>
      <c r="B72" s="122" t="s">
        <v>117</v>
      </c>
      <c r="C72" s="58" t="s">
        <v>118</v>
      </c>
      <c r="D72" s="155" t="s">
        <v>255</v>
      </c>
      <c r="E72" s="60" t="s">
        <v>255</v>
      </c>
      <c r="F72" s="132" t="s">
        <v>192</v>
      </c>
      <c r="G72" s="133" t="str">
        <f t="shared" si="43"/>
        <v>Nu se comercializeaza in Romania</v>
      </c>
      <c r="H72" s="33" t="s">
        <v>255</v>
      </c>
      <c r="I72" s="125" t="s">
        <v>269</v>
      </c>
      <c r="J72" s="122" t="s">
        <v>72</v>
      </c>
      <c r="K72" s="122" t="s">
        <v>270</v>
      </c>
      <c r="L72" s="122" t="s">
        <v>257</v>
      </c>
    </row>
    <row r="73" spans="1:12" ht="24.95" customHeight="1" thickBot="1" x14ac:dyDescent="0.3">
      <c r="A73" t="s">
        <v>252</v>
      </c>
      <c r="B73" s="121" t="str">
        <f>B72</f>
        <v>ACTIUNE DIRECTA</v>
      </c>
      <c r="C73" s="7" t="s">
        <v>119</v>
      </c>
      <c r="D73" s="155" t="s">
        <v>255</v>
      </c>
      <c r="E73" s="60" t="s">
        <v>255</v>
      </c>
      <c r="F73" s="126" t="s">
        <v>192</v>
      </c>
      <c r="G73" s="127" t="str">
        <f t="shared" si="43"/>
        <v>Nu se comercializeaza in Romania</v>
      </c>
      <c r="H73" s="33" t="s">
        <v>255</v>
      </c>
      <c r="I73" s="123" t="str">
        <f t="shared" ref="I73:I74" si="44">I72</f>
        <v>Faciliteaza scurgerea de umoare apoasa prin contractia muschilor ciliari, tensiunea pe varful scleral si tractiunea pe reteaua trabeculara</v>
      </c>
      <c r="J73" s="121" t="str">
        <f>J72</f>
        <v>20-25%</v>
      </c>
      <c r="K73" s="120" t="str">
        <f t="shared" ref="K73:K74" si="45">K72</f>
        <v>Inflamatie postoperatorie, glaucom neovascular uveitis. Pacientul cu risc de detasare a retinei, tulburari gastro-intestinale spastice, ulcer peptic, bradicardie, hipotensiune arteriala, infarct miocardic recent, epilepsie, parkinsonism</v>
      </c>
      <c r="L73" s="121" t="str">
        <f>L72</f>
        <v>Local: vedere redusa datorita miopiei miosisad, hiperemie conjunctivala, dezlipire de retina, opacitatea lentilelor, precipitarea inchiderii unghiului, chisturi pe irisului. Sistemic: crampe intestinale, bronhospasme, cefalee.</v>
      </c>
    </row>
    <row r="74" spans="1:12" ht="24.95" customHeight="1" thickBot="1" x14ac:dyDescent="0.3">
      <c r="A74" t="s">
        <v>252</v>
      </c>
      <c r="B74" s="122" t="s">
        <v>123</v>
      </c>
      <c r="C74" s="106" t="s">
        <v>120</v>
      </c>
      <c r="D74" s="155" t="s">
        <v>255</v>
      </c>
      <c r="E74" s="60" t="s">
        <v>255</v>
      </c>
      <c r="F74" s="132" t="s">
        <v>192</v>
      </c>
      <c r="G74" s="133" t="str">
        <f t="shared" si="43"/>
        <v>Nu se comercializeaza in Romania</v>
      </c>
      <c r="H74" s="33" t="s">
        <v>255</v>
      </c>
      <c r="I74" s="123" t="str">
        <f t="shared" si="44"/>
        <v>Faciliteaza scurgerea de umoare apoasa prin contractia muschilor ciliari, tensiunea pe varful scleral si tractiunea pe reteaua trabeculara</v>
      </c>
      <c r="J74" s="122" t="s">
        <v>124</v>
      </c>
      <c r="K74" s="120" t="str">
        <f t="shared" si="45"/>
        <v>Inflamatie postoperatorie, glaucom neovascular uveitis. Pacientul cu risc de detasare a retinei, tulburari gastro-intestinale spastice, ulcer peptic, bradicardie, hipotensiune arteriala, infarct miocardic recent, epilepsie, parkinsonism</v>
      </c>
      <c r="L74" s="122" t="s">
        <v>258</v>
      </c>
    </row>
    <row r="75" spans="1:12" ht="24.95" customHeight="1" thickBot="1" x14ac:dyDescent="0.3">
      <c r="A75" t="s">
        <v>252</v>
      </c>
      <c r="B75" s="120" t="str">
        <f t="shared" ref="B75:B76" si="46">B74</f>
        <v>ACTIUNE INDIRECTA</v>
      </c>
      <c r="C75" s="6" t="s">
        <v>121</v>
      </c>
      <c r="D75" s="155" t="s">
        <v>255</v>
      </c>
      <c r="E75" s="60" t="s">
        <v>255</v>
      </c>
      <c r="F75" s="104" t="s">
        <v>192</v>
      </c>
      <c r="G75" s="105" t="str">
        <f t="shared" si="43"/>
        <v>Nu se comercializeaza in Romania</v>
      </c>
      <c r="H75" s="33" t="s">
        <v>255</v>
      </c>
      <c r="I75" s="123" t="str">
        <f t="shared" ref="I75:L76" si="47">I74</f>
        <v>Faciliteaza scurgerea de umoare apoasa prin contractia muschilor ciliari, tensiunea pe varful scleral si tractiunea pe reteaua trabeculara</v>
      </c>
      <c r="J75" s="120" t="str">
        <f t="shared" si="47"/>
        <v>15-25%</v>
      </c>
      <c r="K75" s="120" t="str">
        <f t="shared" si="47"/>
        <v>Inflamatie postoperatorie, glaucom neovascular uveitis. Pacientul cu risc de detasare a retinei, tulburari gastro-intestinale spastice, ulcer peptic, bradicardie, hipotensiune arteriala, infarct miocardic recent, epilepsie, parkinsonism</v>
      </c>
      <c r="L75" s="120" t="str">
        <f t="shared" si="47"/>
        <v>Local: vedere redusa datorita miopiei miosisad, hiperemie conjunctivala, dezlipire de retina, opacitatea lentilelor, precipitarea inchiderii unghiului, chisturi pe irisului. Sistemic: crampe intestinale, bronhospasme, cefalee .Efecte adverse mult mai agresive decat la medicamentele colinergice cu actiune directa.</v>
      </c>
    </row>
    <row r="76" spans="1:12" ht="24.95" customHeight="1" thickBot="1" x14ac:dyDescent="0.3">
      <c r="A76" t="s">
        <v>252</v>
      </c>
      <c r="B76" s="121" t="str">
        <f t="shared" si="46"/>
        <v>ACTIUNE INDIRECTA</v>
      </c>
      <c r="C76" s="107" t="s">
        <v>122</v>
      </c>
      <c r="D76" s="155" t="s">
        <v>255</v>
      </c>
      <c r="E76" s="60" t="s">
        <v>255</v>
      </c>
      <c r="F76" s="126" t="s">
        <v>192</v>
      </c>
      <c r="G76" s="127" t="str">
        <f t="shared" si="43"/>
        <v>Nu se comercializeaza in Romania</v>
      </c>
      <c r="H76" s="33" t="s">
        <v>255</v>
      </c>
      <c r="I76" s="124" t="str">
        <f t="shared" si="47"/>
        <v>Faciliteaza scurgerea de umoare apoasa prin contractia muschilor ciliari, tensiunea pe varful scleral si tractiunea pe reteaua trabeculara</v>
      </c>
      <c r="J76" s="121" t="str">
        <f t="shared" si="47"/>
        <v>15-25%</v>
      </c>
      <c r="K76" s="121" t="str">
        <f t="shared" si="47"/>
        <v>Inflamatie postoperatorie, glaucom neovascular uveitis. Pacientul cu risc de detasare a retinei, tulburari gastro-intestinale spastice, ulcer peptic, bradicardie, hipotensiune arteriala, infarct miocardic recent, epilepsie, parkinsonism</v>
      </c>
      <c r="L76" s="121" t="str">
        <f t="shared" si="47"/>
        <v>Local: vedere redusa datorita miopiei miosisad, hiperemie conjunctivala, dezlipire de retina, opacitatea lentilelor, precipitarea inchiderii unghiului, chisturi pe irisului. Sistemic: crampe intestinale, bronhospasme, cefalee .Efecte adverse mult mai agresive decat la medicamentele colinergice cu actiune directa.</v>
      </c>
    </row>
    <row r="77" spans="1:12" ht="24.95" customHeight="1" x14ac:dyDescent="0.25">
      <c r="A77" t="s">
        <v>253</v>
      </c>
      <c r="B77" s="112" t="s">
        <v>125</v>
      </c>
      <c r="C77" s="122" t="s">
        <v>126</v>
      </c>
      <c r="D77" s="87" t="s">
        <v>148</v>
      </c>
      <c r="E77" s="44" t="s">
        <v>127</v>
      </c>
      <c r="F77" s="17" t="s">
        <v>194</v>
      </c>
      <c r="G77" s="34">
        <v>8.2113572290304102</v>
      </c>
      <c r="H77" s="42" t="s">
        <v>163</v>
      </c>
      <c r="I77" s="159" t="s">
        <v>271</v>
      </c>
      <c r="J77" s="152" t="s">
        <v>189</v>
      </c>
      <c r="K77" s="155" t="s">
        <v>191</v>
      </c>
      <c r="L77" s="155" t="s">
        <v>272</v>
      </c>
    </row>
    <row r="78" spans="1:12" ht="24.95" customHeight="1" x14ac:dyDescent="0.25">
      <c r="A78" t="s">
        <v>253</v>
      </c>
      <c r="B78" s="113" t="str">
        <f t="shared" ref="B78:B104" si="48">B77</f>
        <v>ORAL</v>
      </c>
      <c r="C78" s="120" t="str">
        <f t="shared" ref="C78:C97" si="49">C77</f>
        <v>Glycerol</v>
      </c>
      <c r="D78" s="88" t="s">
        <v>148</v>
      </c>
      <c r="E78" s="23" t="s">
        <v>128</v>
      </c>
      <c r="F78" s="3" t="s">
        <v>194</v>
      </c>
      <c r="G78" s="24">
        <v>10.5825159435442</v>
      </c>
      <c r="H78" s="35" t="s">
        <v>163</v>
      </c>
      <c r="I78" s="138" t="str">
        <f t="shared" ref="I78:I105" si="50">I77</f>
        <v>Deshidratarea si reducerea volumului vitros. Miscarea posterioara a planului iris - lentila cu aprofundarea AC</v>
      </c>
      <c r="J78" s="135" t="str">
        <f t="shared" ref="J78:J104" si="51">J77</f>
        <v>15-20%</v>
      </c>
      <c r="K78" s="137" t="str">
        <f t="shared" ref="K78:K105" si="52">K77</f>
        <v>Disfunctii cardiace sau renale</v>
      </c>
      <c r="L78" s="137" t="str">
        <f t="shared" ref="L78:L105" si="53">L77</f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79" spans="1:12" ht="24.95" customHeight="1" x14ac:dyDescent="0.25">
      <c r="A79" t="s">
        <v>253</v>
      </c>
      <c r="B79" s="113" t="str">
        <f t="shared" si="48"/>
        <v>ORAL</v>
      </c>
      <c r="C79" s="120" t="str">
        <f t="shared" si="49"/>
        <v>Glycerol</v>
      </c>
      <c r="D79" s="88" t="s">
        <v>148</v>
      </c>
      <c r="E79" s="23" t="s">
        <v>129</v>
      </c>
      <c r="F79" s="3" t="s">
        <v>194</v>
      </c>
      <c r="G79" s="24">
        <v>8.1409015470580908</v>
      </c>
      <c r="H79" s="35" t="s">
        <v>163</v>
      </c>
      <c r="I79" s="138" t="str">
        <f t="shared" si="50"/>
        <v>Deshidratarea si reducerea volumului vitros. Miscarea posterioara a planului iris - lentila cu aprofundarea AC</v>
      </c>
      <c r="J79" s="135" t="str">
        <f t="shared" si="51"/>
        <v>15-20%</v>
      </c>
      <c r="K79" s="137" t="str">
        <f t="shared" si="52"/>
        <v>Disfunctii cardiace sau renale</v>
      </c>
      <c r="L79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80" spans="1:12" ht="24.95" customHeight="1" x14ac:dyDescent="0.25">
      <c r="A80" t="s">
        <v>253</v>
      </c>
      <c r="B80" s="113" t="str">
        <f t="shared" si="48"/>
        <v>ORAL</v>
      </c>
      <c r="C80" s="120" t="str">
        <f t="shared" si="49"/>
        <v>Glycerol</v>
      </c>
      <c r="D80" s="88" t="s">
        <v>148</v>
      </c>
      <c r="E80" s="23" t="s">
        <v>130</v>
      </c>
      <c r="F80" s="3" t="s">
        <v>194</v>
      </c>
      <c r="G80" s="24">
        <v>10.432986942915701</v>
      </c>
      <c r="H80" s="35" t="s">
        <v>163</v>
      </c>
      <c r="I80" s="138" t="str">
        <f t="shared" si="50"/>
        <v>Deshidratarea si reducerea volumului vitros. Miscarea posterioara a planului iris - lentila cu aprofundarea AC</v>
      </c>
      <c r="J80" s="135" t="str">
        <f t="shared" si="51"/>
        <v>15-20%</v>
      </c>
      <c r="K80" s="137" t="str">
        <f t="shared" si="52"/>
        <v>Disfunctii cardiace sau renale</v>
      </c>
      <c r="L80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81" spans="1:12" ht="24.95" customHeight="1" x14ac:dyDescent="0.25">
      <c r="A81" t="s">
        <v>253</v>
      </c>
      <c r="B81" s="113" t="str">
        <f t="shared" si="48"/>
        <v>ORAL</v>
      </c>
      <c r="C81" s="120" t="str">
        <f t="shared" si="49"/>
        <v>Glycerol</v>
      </c>
      <c r="D81" s="88" t="s">
        <v>149</v>
      </c>
      <c r="E81" s="23" t="s">
        <v>131</v>
      </c>
      <c r="F81" s="3" t="s">
        <v>194</v>
      </c>
      <c r="G81" s="24">
        <v>5.5</v>
      </c>
      <c r="H81" s="35" t="s">
        <v>164</v>
      </c>
      <c r="I81" s="138" t="str">
        <f t="shared" si="50"/>
        <v>Deshidratarea si reducerea volumului vitros. Miscarea posterioara a planului iris - lentila cu aprofundarea AC</v>
      </c>
      <c r="J81" s="135" t="str">
        <f t="shared" si="51"/>
        <v>15-20%</v>
      </c>
      <c r="K81" s="137" t="str">
        <f t="shared" si="52"/>
        <v>Disfunctii cardiace sau renale</v>
      </c>
      <c r="L81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82" spans="1:12" ht="24.95" customHeight="1" x14ac:dyDescent="0.25">
      <c r="A82" t="s">
        <v>253</v>
      </c>
      <c r="B82" s="113" t="str">
        <f t="shared" si="48"/>
        <v>ORAL</v>
      </c>
      <c r="C82" s="120" t="str">
        <f t="shared" si="49"/>
        <v>Glycerol</v>
      </c>
      <c r="D82" s="88" t="s">
        <v>149</v>
      </c>
      <c r="E82" s="23" t="s">
        <v>132</v>
      </c>
      <c r="F82" s="104" t="s">
        <v>192</v>
      </c>
      <c r="G82" s="105" t="str">
        <f t="shared" ref="G82:G83" si="54">F82</f>
        <v>Nu se comercializeaza in Romania</v>
      </c>
      <c r="H82" s="35" t="s">
        <v>164</v>
      </c>
      <c r="I82" s="138" t="str">
        <f t="shared" si="50"/>
        <v>Deshidratarea si reducerea volumului vitros. Miscarea posterioara a planului iris - lentila cu aprofundarea AC</v>
      </c>
      <c r="J82" s="135" t="str">
        <f t="shared" si="51"/>
        <v>15-20%</v>
      </c>
      <c r="K82" s="137" t="str">
        <f t="shared" si="52"/>
        <v>Disfunctii cardiace sau renale</v>
      </c>
      <c r="L82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83" spans="1:12" ht="24.95" customHeight="1" x14ac:dyDescent="0.25">
      <c r="A83" t="s">
        <v>253</v>
      </c>
      <c r="B83" s="113" t="str">
        <f t="shared" si="48"/>
        <v>ORAL</v>
      </c>
      <c r="C83" s="120" t="str">
        <f t="shared" si="49"/>
        <v>Glycerol</v>
      </c>
      <c r="D83" s="88" t="s">
        <v>150</v>
      </c>
      <c r="E83" s="23" t="s">
        <v>133</v>
      </c>
      <c r="F83" s="104" t="s">
        <v>192</v>
      </c>
      <c r="G83" s="105" t="str">
        <f t="shared" si="54"/>
        <v>Nu se comercializeaza in Romania</v>
      </c>
      <c r="H83" s="35" t="s">
        <v>164</v>
      </c>
      <c r="I83" s="138" t="str">
        <f t="shared" si="50"/>
        <v>Deshidratarea si reducerea volumului vitros. Miscarea posterioara a planului iris - lentila cu aprofundarea AC</v>
      </c>
      <c r="J83" s="135" t="str">
        <f t="shared" si="51"/>
        <v>15-20%</v>
      </c>
      <c r="K83" s="137" t="str">
        <f t="shared" si="52"/>
        <v>Disfunctii cardiace sau renale</v>
      </c>
      <c r="L83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84" spans="1:12" ht="24.95" customHeight="1" x14ac:dyDescent="0.25">
      <c r="A84" t="s">
        <v>253</v>
      </c>
      <c r="B84" s="113" t="str">
        <f t="shared" si="48"/>
        <v>ORAL</v>
      </c>
      <c r="C84" s="120" t="str">
        <f t="shared" si="49"/>
        <v>Glycerol</v>
      </c>
      <c r="D84" s="88" t="s">
        <v>149</v>
      </c>
      <c r="E84" s="23" t="s">
        <v>134</v>
      </c>
      <c r="F84" s="3" t="s">
        <v>194</v>
      </c>
      <c r="G84" s="24">
        <v>11.2622579703676</v>
      </c>
      <c r="H84" s="35" t="s">
        <v>165</v>
      </c>
      <c r="I84" s="138" t="str">
        <f t="shared" si="50"/>
        <v>Deshidratarea si reducerea volumului vitros. Miscarea posterioara a planului iris - lentila cu aprofundarea AC</v>
      </c>
      <c r="J84" s="135" t="str">
        <f t="shared" si="51"/>
        <v>15-20%</v>
      </c>
      <c r="K84" s="137" t="str">
        <f t="shared" si="52"/>
        <v>Disfunctii cardiace sau renale</v>
      </c>
      <c r="L84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85" spans="1:12" ht="24.95" customHeight="1" x14ac:dyDescent="0.25">
      <c r="A85" t="s">
        <v>253</v>
      </c>
      <c r="B85" s="113" t="str">
        <f t="shared" si="48"/>
        <v>ORAL</v>
      </c>
      <c r="C85" s="120" t="str">
        <f t="shared" si="49"/>
        <v>Glycerol</v>
      </c>
      <c r="D85" s="88" t="s">
        <v>149</v>
      </c>
      <c r="E85" s="23" t="s">
        <v>135</v>
      </c>
      <c r="F85" s="3" t="s">
        <v>194</v>
      </c>
      <c r="G85" s="24">
        <v>8.1111678832116798</v>
      </c>
      <c r="H85" s="35" t="s">
        <v>163</v>
      </c>
      <c r="I85" s="138" t="str">
        <f t="shared" si="50"/>
        <v>Deshidratarea si reducerea volumului vitros. Miscarea posterioara a planului iris - lentila cu aprofundarea AC</v>
      </c>
      <c r="J85" s="135" t="str">
        <f t="shared" si="51"/>
        <v>15-20%</v>
      </c>
      <c r="K85" s="137" t="str">
        <f t="shared" si="52"/>
        <v>Disfunctii cardiace sau renale</v>
      </c>
      <c r="L85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86" spans="1:12" ht="24.95" customHeight="1" x14ac:dyDescent="0.25">
      <c r="A86" t="s">
        <v>253</v>
      </c>
      <c r="B86" s="113" t="str">
        <f t="shared" si="48"/>
        <v>ORAL</v>
      </c>
      <c r="C86" s="120" t="str">
        <f t="shared" si="49"/>
        <v>Glycerol</v>
      </c>
      <c r="D86" s="88" t="s">
        <v>149</v>
      </c>
      <c r="E86" s="23" t="s">
        <v>136</v>
      </c>
      <c r="F86" s="3" t="s">
        <v>194</v>
      </c>
      <c r="G86" s="24">
        <v>11.9866666666667</v>
      </c>
      <c r="H86" s="35" t="s">
        <v>166</v>
      </c>
      <c r="I86" s="138" t="str">
        <f t="shared" si="50"/>
        <v>Deshidratarea si reducerea volumului vitros. Miscarea posterioara a planului iris - lentila cu aprofundarea AC</v>
      </c>
      <c r="J86" s="135" t="str">
        <f t="shared" si="51"/>
        <v>15-20%</v>
      </c>
      <c r="K86" s="137" t="str">
        <f t="shared" si="52"/>
        <v>Disfunctii cardiace sau renale</v>
      </c>
      <c r="L86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87" spans="1:12" ht="24.95" customHeight="1" x14ac:dyDescent="0.25">
      <c r="A87" t="s">
        <v>253</v>
      </c>
      <c r="B87" s="113" t="str">
        <f t="shared" si="48"/>
        <v>ORAL</v>
      </c>
      <c r="C87" s="120" t="str">
        <f t="shared" si="49"/>
        <v>Glycerol</v>
      </c>
      <c r="D87" s="88" t="s">
        <v>149</v>
      </c>
      <c r="E87" s="23" t="s">
        <v>137</v>
      </c>
      <c r="F87" s="3" t="s">
        <v>194</v>
      </c>
      <c r="G87" s="24">
        <v>10.4266317693116</v>
      </c>
      <c r="H87" s="35" t="s">
        <v>165</v>
      </c>
      <c r="I87" s="138" t="str">
        <f t="shared" si="50"/>
        <v>Deshidratarea si reducerea volumului vitros. Miscarea posterioara a planului iris - lentila cu aprofundarea AC</v>
      </c>
      <c r="J87" s="135" t="str">
        <f t="shared" si="51"/>
        <v>15-20%</v>
      </c>
      <c r="K87" s="137" t="str">
        <f t="shared" si="52"/>
        <v>Disfunctii cardiace sau renale</v>
      </c>
      <c r="L87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88" spans="1:12" ht="24.95" customHeight="1" x14ac:dyDescent="0.25">
      <c r="A88" t="s">
        <v>253</v>
      </c>
      <c r="B88" s="113" t="str">
        <f t="shared" si="48"/>
        <v>ORAL</v>
      </c>
      <c r="C88" s="120" t="str">
        <f t="shared" si="49"/>
        <v>Glycerol</v>
      </c>
      <c r="D88" s="88" t="s">
        <v>149</v>
      </c>
      <c r="E88" s="23" t="s">
        <v>138</v>
      </c>
      <c r="F88" s="3" t="s">
        <v>194</v>
      </c>
      <c r="G88" s="24">
        <v>5.8649396135265697</v>
      </c>
      <c r="H88" s="35" t="s">
        <v>167</v>
      </c>
      <c r="I88" s="138" t="str">
        <f t="shared" si="50"/>
        <v>Deshidratarea si reducerea volumului vitros. Miscarea posterioara a planului iris - lentila cu aprofundarea AC</v>
      </c>
      <c r="J88" s="135" t="str">
        <f t="shared" si="51"/>
        <v>15-20%</v>
      </c>
      <c r="K88" s="137" t="str">
        <f t="shared" si="52"/>
        <v>Disfunctii cardiace sau renale</v>
      </c>
      <c r="L88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89" spans="1:12" ht="24.95" customHeight="1" x14ac:dyDescent="0.25">
      <c r="A89" t="s">
        <v>253</v>
      </c>
      <c r="B89" s="113" t="str">
        <f t="shared" si="48"/>
        <v>ORAL</v>
      </c>
      <c r="C89" s="120" t="str">
        <f t="shared" si="49"/>
        <v>Glycerol</v>
      </c>
      <c r="D89" s="88" t="s">
        <v>149</v>
      </c>
      <c r="E89" s="23" t="s">
        <v>139</v>
      </c>
      <c r="F89" s="3" t="s">
        <v>194</v>
      </c>
      <c r="G89" s="24">
        <v>6.5857142857142899</v>
      </c>
      <c r="H89" s="35" t="s">
        <v>163</v>
      </c>
      <c r="I89" s="138" t="str">
        <f t="shared" si="50"/>
        <v>Deshidratarea si reducerea volumului vitros. Miscarea posterioara a planului iris - lentila cu aprofundarea AC</v>
      </c>
      <c r="J89" s="135" t="str">
        <f t="shared" si="51"/>
        <v>15-20%</v>
      </c>
      <c r="K89" s="137" t="str">
        <f t="shared" si="52"/>
        <v>Disfunctii cardiace sau renale</v>
      </c>
      <c r="L89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90" spans="1:12" ht="24.95" customHeight="1" x14ac:dyDescent="0.25">
      <c r="A90" t="s">
        <v>253</v>
      </c>
      <c r="B90" s="113" t="str">
        <f t="shared" si="48"/>
        <v>ORAL</v>
      </c>
      <c r="C90" s="120" t="str">
        <f t="shared" si="49"/>
        <v>Glycerol</v>
      </c>
      <c r="D90" s="88" t="s">
        <v>149</v>
      </c>
      <c r="E90" s="23" t="s">
        <v>140</v>
      </c>
      <c r="F90" s="104" t="s">
        <v>192</v>
      </c>
      <c r="G90" s="105" t="str">
        <f>F90</f>
        <v>Nu se comercializeaza in Romania</v>
      </c>
      <c r="H90" s="35" t="s">
        <v>166</v>
      </c>
      <c r="I90" s="138" t="str">
        <f t="shared" si="50"/>
        <v>Deshidratarea si reducerea volumului vitros. Miscarea posterioara a planului iris - lentila cu aprofundarea AC</v>
      </c>
      <c r="J90" s="135" t="str">
        <f t="shared" si="51"/>
        <v>15-20%</v>
      </c>
      <c r="K90" s="137" t="str">
        <f t="shared" si="52"/>
        <v>Disfunctii cardiace sau renale</v>
      </c>
      <c r="L90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91" spans="1:12" ht="24.95" customHeight="1" x14ac:dyDescent="0.25">
      <c r="A91" t="s">
        <v>253</v>
      </c>
      <c r="B91" s="113" t="str">
        <f t="shared" si="48"/>
        <v>ORAL</v>
      </c>
      <c r="C91" s="120" t="str">
        <f t="shared" si="49"/>
        <v>Glycerol</v>
      </c>
      <c r="D91" s="88" t="s">
        <v>150</v>
      </c>
      <c r="E91" s="23" t="s">
        <v>141</v>
      </c>
      <c r="F91" s="3" t="s">
        <v>194</v>
      </c>
      <c r="G91" s="24">
        <v>10.1096303501946</v>
      </c>
      <c r="H91" s="35" t="s">
        <v>168</v>
      </c>
      <c r="I91" s="138" t="str">
        <f t="shared" si="50"/>
        <v>Deshidratarea si reducerea volumului vitros. Miscarea posterioara a planului iris - lentila cu aprofundarea AC</v>
      </c>
      <c r="J91" s="135" t="str">
        <f t="shared" si="51"/>
        <v>15-20%</v>
      </c>
      <c r="K91" s="137" t="str">
        <f t="shared" si="52"/>
        <v>Disfunctii cardiace sau renale</v>
      </c>
      <c r="L91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92" spans="1:12" ht="24.95" customHeight="1" x14ac:dyDescent="0.25">
      <c r="A92" t="s">
        <v>253</v>
      </c>
      <c r="B92" s="113" t="str">
        <f t="shared" si="48"/>
        <v>ORAL</v>
      </c>
      <c r="C92" s="120" t="str">
        <f t="shared" si="49"/>
        <v>Glycerol</v>
      </c>
      <c r="D92" s="88" t="s">
        <v>150</v>
      </c>
      <c r="E92" s="23" t="s">
        <v>142</v>
      </c>
      <c r="F92" s="3" t="s">
        <v>194</v>
      </c>
      <c r="G92" s="24">
        <v>15.4285714285714</v>
      </c>
      <c r="H92" s="35" t="s">
        <v>104</v>
      </c>
      <c r="I92" s="138" t="str">
        <f t="shared" si="50"/>
        <v>Deshidratarea si reducerea volumului vitros. Miscarea posterioara a planului iris - lentila cu aprofundarea AC</v>
      </c>
      <c r="J92" s="135" t="str">
        <f t="shared" si="51"/>
        <v>15-20%</v>
      </c>
      <c r="K92" s="137" t="str">
        <f t="shared" si="52"/>
        <v>Disfunctii cardiace sau renale</v>
      </c>
      <c r="L92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93" spans="1:12" ht="24.95" customHeight="1" x14ac:dyDescent="0.25">
      <c r="A93" t="s">
        <v>253</v>
      </c>
      <c r="B93" s="113" t="str">
        <f t="shared" si="48"/>
        <v>ORAL</v>
      </c>
      <c r="C93" s="120" t="str">
        <f t="shared" si="49"/>
        <v>Glycerol</v>
      </c>
      <c r="D93" s="88" t="s">
        <v>150</v>
      </c>
      <c r="E93" s="23" t="s">
        <v>143</v>
      </c>
      <c r="F93" s="3" t="s">
        <v>194</v>
      </c>
      <c r="G93" s="24">
        <v>11.565649038461499</v>
      </c>
      <c r="H93" s="35" t="s">
        <v>104</v>
      </c>
      <c r="I93" s="138" t="str">
        <f t="shared" si="50"/>
        <v>Deshidratarea si reducerea volumului vitros. Miscarea posterioara a planului iris - lentila cu aprofundarea AC</v>
      </c>
      <c r="J93" s="135" t="str">
        <f t="shared" si="51"/>
        <v>15-20%</v>
      </c>
      <c r="K93" s="137" t="str">
        <f t="shared" si="52"/>
        <v>Disfunctii cardiace sau renale</v>
      </c>
      <c r="L93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94" spans="1:12" ht="24.95" customHeight="1" x14ac:dyDescent="0.25">
      <c r="A94" t="s">
        <v>253</v>
      </c>
      <c r="B94" s="113" t="str">
        <f t="shared" si="48"/>
        <v>ORAL</v>
      </c>
      <c r="C94" s="120" t="str">
        <f t="shared" si="49"/>
        <v>Glycerol</v>
      </c>
      <c r="D94" s="88" t="s">
        <v>151</v>
      </c>
      <c r="E94" s="23" t="s">
        <v>144</v>
      </c>
      <c r="F94" s="3" t="s">
        <v>194</v>
      </c>
      <c r="G94" s="24">
        <v>8.9380425531914902</v>
      </c>
      <c r="H94" s="35" t="s">
        <v>168</v>
      </c>
      <c r="I94" s="138" t="str">
        <f t="shared" si="50"/>
        <v>Deshidratarea si reducerea volumului vitros. Miscarea posterioara a planului iris - lentila cu aprofundarea AC</v>
      </c>
      <c r="J94" s="135" t="str">
        <f t="shared" si="51"/>
        <v>15-20%</v>
      </c>
      <c r="K94" s="137" t="str">
        <f t="shared" si="52"/>
        <v>Disfunctii cardiace sau renale</v>
      </c>
      <c r="L94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95" spans="1:12" ht="24.95" customHeight="1" x14ac:dyDescent="0.25">
      <c r="A95" t="s">
        <v>253</v>
      </c>
      <c r="B95" s="113" t="str">
        <f t="shared" si="48"/>
        <v>ORAL</v>
      </c>
      <c r="C95" s="120" t="str">
        <f t="shared" si="49"/>
        <v>Glycerol</v>
      </c>
      <c r="D95" s="88" t="s">
        <v>151</v>
      </c>
      <c r="E95" s="23" t="s">
        <v>145</v>
      </c>
      <c r="F95" s="3" t="s">
        <v>194</v>
      </c>
      <c r="G95" s="24">
        <v>5.71300236406619</v>
      </c>
      <c r="H95" s="35" t="s">
        <v>167</v>
      </c>
      <c r="I95" s="138" t="str">
        <f t="shared" si="50"/>
        <v>Deshidratarea si reducerea volumului vitros. Miscarea posterioara a planului iris - lentila cu aprofundarea AC</v>
      </c>
      <c r="J95" s="135" t="str">
        <f t="shared" si="51"/>
        <v>15-20%</v>
      </c>
      <c r="K95" s="137" t="str">
        <f t="shared" si="52"/>
        <v>Disfunctii cardiace sau renale</v>
      </c>
      <c r="L95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96" spans="1:12" ht="24.95" customHeight="1" x14ac:dyDescent="0.25">
      <c r="A96" t="s">
        <v>253</v>
      </c>
      <c r="B96" s="113" t="str">
        <f t="shared" si="48"/>
        <v>ORAL</v>
      </c>
      <c r="C96" s="120" t="str">
        <f t="shared" si="49"/>
        <v>Glycerol</v>
      </c>
      <c r="D96" s="88" t="s">
        <v>151</v>
      </c>
      <c r="E96" s="23" t="s">
        <v>146</v>
      </c>
      <c r="F96" s="3" t="s">
        <v>194</v>
      </c>
      <c r="G96" s="24">
        <v>14.3</v>
      </c>
      <c r="H96" s="35" t="s">
        <v>104</v>
      </c>
      <c r="I96" s="138" t="str">
        <f t="shared" si="50"/>
        <v>Deshidratarea si reducerea volumului vitros. Miscarea posterioara a planului iris - lentila cu aprofundarea AC</v>
      </c>
      <c r="J96" s="135" t="str">
        <f t="shared" si="51"/>
        <v>15-20%</v>
      </c>
      <c r="K96" s="137" t="str">
        <f t="shared" si="52"/>
        <v>Disfunctii cardiace sau renale</v>
      </c>
      <c r="L96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97" spans="1:12" ht="24.95" customHeight="1" thickBot="1" x14ac:dyDescent="0.3">
      <c r="A97" t="s">
        <v>253</v>
      </c>
      <c r="B97" s="113" t="str">
        <f t="shared" si="48"/>
        <v>ORAL</v>
      </c>
      <c r="C97" s="121" t="str">
        <f t="shared" si="49"/>
        <v>Glycerol</v>
      </c>
      <c r="D97" s="89" t="s">
        <v>151</v>
      </c>
      <c r="E97" s="45" t="s">
        <v>147</v>
      </c>
      <c r="F97" s="21" t="s">
        <v>194</v>
      </c>
      <c r="G97" s="36">
        <v>11.084667159763301</v>
      </c>
      <c r="H97" s="37" t="s">
        <v>104</v>
      </c>
      <c r="I97" s="138" t="str">
        <f t="shared" si="50"/>
        <v>Deshidratarea si reducerea volumului vitros. Miscarea posterioara a planului iris - lentila cu aprofundarea AC</v>
      </c>
      <c r="J97" s="135" t="str">
        <f t="shared" si="51"/>
        <v>15-20%</v>
      </c>
      <c r="K97" s="137" t="str">
        <f t="shared" si="52"/>
        <v>Disfunctii cardiace sau renale</v>
      </c>
      <c r="L97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98" spans="1:12" ht="24.95" customHeight="1" thickBot="1" x14ac:dyDescent="0.3">
      <c r="A98" t="s">
        <v>253</v>
      </c>
      <c r="B98" s="113" t="str">
        <f t="shared" si="48"/>
        <v>ORAL</v>
      </c>
      <c r="C98" s="108" t="s">
        <v>152</v>
      </c>
      <c r="D98" s="90" t="s">
        <v>199</v>
      </c>
      <c r="E98" s="91" t="s">
        <v>198</v>
      </c>
      <c r="F98" s="140" t="s">
        <v>192</v>
      </c>
      <c r="G98" s="141" t="str">
        <f>F98</f>
        <v>Nu se comercializeaza in Romania</v>
      </c>
      <c r="H98" s="92" t="s">
        <v>21</v>
      </c>
      <c r="I98" s="138" t="str">
        <f t="shared" si="50"/>
        <v>Deshidratarea si reducerea volumului vitros. Miscarea posterioara a planului iris - lentila cu aprofundarea AC</v>
      </c>
      <c r="J98" s="135" t="str">
        <f t="shared" si="51"/>
        <v>15-20%</v>
      </c>
      <c r="K98" s="137" t="str">
        <f t="shared" si="52"/>
        <v>Disfunctii cardiace sau renale</v>
      </c>
      <c r="L98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99" spans="1:12" ht="24.95" customHeight="1" x14ac:dyDescent="0.25">
      <c r="A99" t="s">
        <v>253</v>
      </c>
      <c r="B99" s="113" t="str">
        <f t="shared" si="48"/>
        <v>ORAL</v>
      </c>
      <c r="C99" s="109" t="str">
        <f t="shared" ref="C99:C103" si="55">C98</f>
        <v>Isosorbide</v>
      </c>
      <c r="D99" s="63" t="s">
        <v>159</v>
      </c>
      <c r="E99" s="44" t="s">
        <v>153</v>
      </c>
      <c r="F99" s="17">
        <v>0</v>
      </c>
      <c r="G99" s="34">
        <v>4.0938227985490299</v>
      </c>
      <c r="H99" s="42" t="s">
        <v>43</v>
      </c>
      <c r="I99" s="138" t="str">
        <f t="shared" si="50"/>
        <v>Deshidratarea si reducerea volumului vitros. Miscarea posterioara a planului iris - lentila cu aprofundarea AC</v>
      </c>
      <c r="J99" s="135" t="str">
        <f t="shared" si="51"/>
        <v>15-20%</v>
      </c>
      <c r="K99" s="137" t="str">
        <f t="shared" si="52"/>
        <v>Disfunctii cardiace sau renale</v>
      </c>
      <c r="L99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00" spans="1:12" ht="24.95" customHeight="1" x14ac:dyDescent="0.25">
      <c r="A100" t="s">
        <v>253</v>
      </c>
      <c r="B100" s="113" t="str">
        <f t="shared" si="48"/>
        <v>ORAL</v>
      </c>
      <c r="C100" s="109" t="str">
        <f t="shared" si="55"/>
        <v>Isosorbide</v>
      </c>
      <c r="D100" s="25" t="s">
        <v>160</v>
      </c>
      <c r="E100" s="23" t="s">
        <v>154</v>
      </c>
      <c r="F100" s="3" t="s">
        <v>194</v>
      </c>
      <c r="G100" s="24">
        <v>1.8683368644067799</v>
      </c>
      <c r="H100" s="35" t="s">
        <v>103</v>
      </c>
      <c r="I100" s="138" t="str">
        <f t="shared" si="50"/>
        <v>Deshidratarea si reducerea volumului vitros. Miscarea posterioara a planului iris - lentila cu aprofundarea AC</v>
      </c>
      <c r="J100" s="135" t="str">
        <f t="shared" si="51"/>
        <v>15-20%</v>
      </c>
      <c r="K100" s="137" t="str">
        <f t="shared" si="52"/>
        <v>Disfunctii cardiace sau renale</v>
      </c>
      <c r="L100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01" spans="1:12" ht="24.95" customHeight="1" x14ac:dyDescent="0.25">
      <c r="A101" t="s">
        <v>253</v>
      </c>
      <c r="B101" s="113" t="str">
        <f t="shared" si="48"/>
        <v>ORAL</v>
      </c>
      <c r="C101" s="109" t="str">
        <f t="shared" si="55"/>
        <v>Isosorbide</v>
      </c>
      <c r="D101" s="25" t="s">
        <v>160</v>
      </c>
      <c r="E101" s="23" t="s">
        <v>155</v>
      </c>
      <c r="F101" s="3">
        <v>0</v>
      </c>
      <c r="G101" s="24">
        <v>1.8484313608049801</v>
      </c>
      <c r="H101" s="35" t="s">
        <v>55</v>
      </c>
      <c r="I101" s="138" t="str">
        <f t="shared" si="50"/>
        <v>Deshidratarea si reducerea volumului vitros. Miscarea posterioara a planului iris - lentila cu aprofundarea AC</v>
      </c>
      <c r="J101" s="135" t="str">
        <f t="shared" si="51"/>
        <v>15-20%</v>
      </c>
      <c r="K101" s="137" t="str">
        <f t="shared" si="52"/>
        <v>Disfunctii cardiace sau renale</v>
      </c>
      <c r="L101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02" spans="1:12" ht="24.95" customHeight="1" x14ac:dyDescent="0.25">
      <c r="A102" t="s">
        <v>253</v>
      </c>
      <c r="B102" s="113" t="str">
        <f t="shared" si="48"/>
        <v>ORAL</v>
      </c>
      <c r="C102" s="109" t="str">
        <f t="shared" si="55"/>
        <v>Isosorbide</v>
      </c>
      <c r="D102" s="25" t="s">
        <v>161</v>
      </c>
      <c r="E102" s="23" t="s">
        <v>156</v>
      </c>
      <c r="F102" s="3">
        <v>22</v>
      </c>
      <c r="G102" s="24">
        <v>37.741885215890399</v>
      </c>
      <c r="H102" s="35" t="s">
        <v>45</v>
      </c>
      <c r="I102" s="138" t="str">
        <f t="shared" si="50"/>
        <v>Deshidratarea si reducerea volumului vitros. Miscarea posterioara a planului iris - lentila cu aprofundarea AC</v>
      </c>
      <c r="J102" s="135" t="str">
        <f t="shared" si="51"/>
        <v>15-20%</v>
      </c>
      <c r="K102" s="137" t="str">
        <f t="shared" si="52"/>
        <v>Disfunctii cardiace sau renale</v>
      </c>
      <c r="L102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03" spans="1:12" ht="24.95" customHeight="1" thickBot="1" x14ac:dyDescent="0.3">
      <c r="A103" t="s">
        <v>253</v>
      </c>
      <c r="B103" s="113" t="str">
        <f t="shared" si="48"/>
        <v>ORAL</v>
      </c>
      <c r="C103" s="110" t="str">
        <f t="shared" si="55"/>
        <v>Isosorbide</v>
      </c>
      <c r="D103" s="64" t="s">
        <v>162</v>
      </c>
      <c r="E103" s="45" t="s">
        <v>157</v>
      </c>
      <c r="F103" s="21">
        <v>3</v>
      </c>
      <c r="G103" s="36">
        <v>8.8271385220176093</v>
      </c>
      <c r="H103" s="37" t="s">
        <v>158</v>
      </c>
      <c r="I103" s="138" t="str">
        <f t="shared" si="50"/>
        <v>Deshidratarea si reducerea volumului vitros. Miscarea posterioara a planului iris - lentila cu aprofundarea AC</v>
      </c>
      <c r="J103" s="135" t="str">
        <f t="shared" si="51"/>
        <v>15-20%</v>
      </c>
      <c r="K103" s="137" t="str">
        <f t="shared" si="52"/>
        <v>Disfunctii cardiace sau renale</v>
      </c>
      <c r="L103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04" spans="1:12" ht="24.95" customHeight="1" thickBot="1" x14ac:dyDescent="0.3">
      <c r="A104" t="s">
        <v>253</v>
      </c>
      <c r="B104" s="114" t="str">
        <f t="shared" si="48"/>
        <v>ORAL</v>
      </c>
      <c r="C104" s="65" t="s">
        <v>169</v>
      </c>
      <c r="D104" s="59" t="s">
        <v>255</v>
      </c>
      <c r="E104" s="60" t="s">
        <v>255</v>
      </c>
      <c r="F104" s="16" t="s">
        <v>255</v>
      </c>
      <c r="G104" s="16" t="s">
        <v>255</v>
      </c>
      <c r="H104" s="33" t="s">
        <v>255</v>
      </c>
      <c r="I104" s="138" t="str">
        <f t="shared" si="50"/>
        <v>Deshidratarea si reducerea volumului vitros. Miscarea posterioara a planului iris - lentila cu aprofundarea AC</v>
      </c>
      <c r="J104" s="136" t="str">
        <f t="shared" si="51"/>
        <v>15-20%</v>
      </c>
      <c r="K104" s="137" t="str">
        <f t="shared" si="52"/>
        <v>Disfunctii cardiace sau renale</v>
      </c>
      <c r="L104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05" spans="1:12" ht="24.95" customHeight="1" x14ac:dyDescent="0.25">
      <c r="A105" t="s">
        <v>253</v>
      </c>
      <c r="B105" s="112" t="s">
        <v>187</v>
      </c>
      <c r="C105" s="160" t="s">
        <v>170</v>
      </c>
      <c r="D105" s="63" t="s">
        <v>171</v>
      </c>
      <c r="E105" s="44" t="s">
        <v>174</v>
      </c>
      <c r="F105" s="132" t="s">
        <v>192</v>
      </c>
      <c r="G105" s="133" t="str">
        <f t="shared" ref="G105" si="56">F105</f>
        <v>Nu se comercializeaza in Romania</v>
      </c>
      <c r="H105" s="42" t="s">
        <v>183</v>
      </c>
      <c r="I105" s="138" t="str">
        <f t="shared" si="50"/>
        <v>Deshidratarea si reducerea volumului vitros. Miscarea posterioara a planului iris - lentila cu aprofundarea AC</v>
      </c>
      <c r="J105" s="134" t="s">
        <v>190</v>
      </c>
      <c r="K105" s="137" t="str">
        <f t="shared" si="52"/>
        <v>Disfunctii cardiace sau renale</v>
      </c>
      <c r="L105" s="137" t="str">
        <f t="shared" si="53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06" spans="1:12" ht="24.95" customHeight="1" x14ac:dyDescent="0.25">
      <c r="A106" t="s">
        <v>253</v>
      </c>
      <c r="B106" s="113" t="str">
        <f t="shared" ref="B106:B114" si="57">B105</f>
        <v>INTRAVENOS</v>
      </c>
      <c r="C106" s="161" t="str">
        <f t="shared" ref="C106:C113" si="58">C105</f>
        <v>Mannitol</v>
      </c>
      <c r="D106" s="25" t="s">
        <v>172</v>
      </c>
      <c r="E106" s="23" t="s">
        <v>175</v>
      </c>
      <c r="F106" s="3" t="s">
        <v>194</v>
      </c>
      <c r="G106" s="24">
        <v>58.884680210240397</v>
      </c>
      <c r="H106" s="35" t="s">
        <v>184</v>
      </c>
      <c r="I106" s="138" t="str">
        <f t="shared" ref="I106:I114" si="59">I105</f>
        <v>Deshidratarea si reducerea volumului vitros. Miscarea posterioara a planului iris - lentila cu aprofundarea AC</v>
      </c>
      <c r="J106" s="135" t="str">
        <f t="shared" ref="J106:J114" si="60">J105</f>
        <v>15-30%</v>
      </c>
      <c r="K106" s="137" t="str">
        <f t="shared" ref="K106:K114" si="61">K105</f>
        <v>Disfunctii cardiace sau renale</v>
      </c>
      <c r="L106" s="137" t="str">
        <f t="shared" ref="L106:L114" si="62">L105</f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07" spans="1:12" ht="24.95" customHeight="1" x14ac:dyDescent="0.25">
      <c r="A107" t="s">
        <v>253</v>
      </c>
      <c r="B107" s="113" t="str">
        <f t="shared" si="57"/>
        <v>INTRAVENOS</v>
      </c>
      <c r="C107" s="161" t="str">
        <f t="shared" si="58"/>
        <v>Mannitol</v>
      </c>
      <c r="D107" s="25" t="s">
        <v>172</v>
      </c>
      <c r="E107" s="23" t="s">
        <v>176</v>
      </c>
      <c r="F107" s="3" t="s">
        <v>194</v>
      </c>
      <c r="G107" s="24">
        <v>94.517046678635595</v>
      </c>
      <c r="H107" s="35" t="s">
        <v>184</v>
      </c>
      <c r="I107" s="138" t="str">
        <f t="shared" si="59"/>
        <v>Deshidratarea si reducerea volumului vitros. Miscarea posterioara a planului iris - lentila cu aprofundarea AC</v>
      </c>
      <c r="J107" s="135" t="str">
        <f t="shared" si="60"/>
        <v>15-30%</v>
      </c>
      <c r="K107" s="137" t="str">
        <f t="shared" si="61"/>
        <v>Disfunctii cardiace sau renale</v>
      </c>
      <c r="L107" s="137" t="str">
        <f t="shared" si="62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08" spans="1:12" ht="24.95" customHeight="1" x14ac:dyDescent="0.25">
      <c r="A108" t="s">
        <v>253</v>
      </c>
      <c r="B108" s="113" t="str">
        <f t="shared" si="57"/>
        <v>INTRAVENOS</v>
      </c>
      <c r="C108" s="161" t="str">
        <f t="shared" si="58"/>
        <v>Mannitol</v>
      </c>
      <c r="D108" s="25" t="s">
        <v>173</v>
      </c>
      <c r="E108" s="23" t="s">
        <v>177</v>
      </c>
      <c r="F108" s="3" t="s">
        <v>194</v>
      </c>
      <c r="G108" s="24">
        <v>59.019515951595203</v>
      </c>
      <c r="H108" s="35" t="s">
        <v>184</v>
      </c>
      <c r="I108" s="138" t="str">
        <f t="shared" si="59"/>
        <v>Deshidratarea si reducerea volumului vitros. Miscarea posterioara a planului iris - lentila cu aprofundarea AC</v>
      </c>
      <c r="J108" s="135" t="str">
        <f t="shared" si="60"/>
        <v>15-30%</v>
      </c>
      <c r="K108" s="137" t="str">
        <f t="shared" si="61"/>
        <v>Disfunctii cardiace sau renale</v>
      </c>
      <c r="L108" s="137" t="str">
        <f t="shared" si="62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09" spans="1:12" ht="24.95" customHeight="1" x14ac:dyDescent="0.25">
      <c r="A109" t="s">
        <v>253</v>
      </c>
      <c r="B109" s="113" t="str">
        <f t="shared" si="57"/>
        <v>INTRAVENOS</v>
      </c>
      <c r="C109" s="161" t="str">
        <f t="shared" si="58"/>
        <v>Mannitol</v>
      </c>
      <c r="D109" s="25" t="s">
        <v>171</v>
      </c>
      <c r="E109" s="23" t="s">
        <v>178</v>
      </c>
      <c r="F109" s="104" t="s">
        <v>192</v>
      </c>
      <c r="G109" s="105" t="str">
        <f t="shared" ref="G109:G112" si="63">F109</f>
        <v>Nu se comercializeaza in Romania</v>
      </c>
      <c r="H109" s="35" t="s">
        <v>184</v>
      </c>
      <c r="I109" s="138" t="str">
        <f t="shared" si="59"/>
        <v>Deshidratarea si reducerea volumului vitros. Miscarea posterioara a planului iris - lentila cu aprofundarea AC</v>
      </c>
      <c r="J109" s="135" t="str">
        <f t="shared" si="60"/>
        <v>15-30%</v>
      </c>
      <c r="K109" s="137" t="str">
        <f t="shared" si="61"/>
        <v>Disfunctii cardiace sau renale</v>
      </c>
      <c r="L109" s="137" t="str">
        <f t="shared" si="62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10" spans="1:12" ht="24.95" customHeight="1" x14ac:dyDescent="0.25">
      <c r="A110" t="s">
        <v>253</v>
      </c>
      <c r="B110" s="113" t="str">
        <f t="shared" si="57"/>
        <v>INTRAVENOS</v>
      </c>
      <c r="C110" s="161" t="str">
        <f t="shared" si="58"/>
        <v>Mannitol</v>
      </c>
      <c r="D110" s="25" t="s">
        <v>171</v>
      </c>
      <c r="E110" s="23" t="s">
        <v>179</v>
      </c>
      <c r="F110" s="104" t="s">
        <v>192</v>
      </c>
      <c r="G110" s="105" t="str">
        <f t="shared" si="63"/>
        <v>Nu se comercializeaza in Romania</v>
      </c>
      <c r="H110" s="35" t="s">
        <v>184</v>
      </c>
      <c r="I110" s="138" t="str">
        <f t="shared" si="59"/>
        <v>Deshidratarea si reducerea volumului vitros. Miscarea posterioara a planului iris - lentila cu aprofundarea AC</v>
      </c>
      <c r="J110" s="135" t="str">
        <f t="shared" si="60"/>
        <v>15-30%</v>
      </c>
      <c r="K110" s="137" t="str">
        <f t="shared" si="61"/>
        <v>Disfunctii cardiace sau renale</v>
      </c>
      <c r="L110" s="137" t="str">
        <f t="shared" si="62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11" spans="1:12" ht="24.95" customHeight="1" x14ac:dyDescent="0.25">
      <c r="A111" t="s">
        <v>253</v>
      </c>
      <c r="B111" s="113" t="str">
        <f t="shared" si="57"/>
        <v>INTRAVENOS</v>
      </c>
      <c r="C111" s="161" t="str">
        <f t="shared" si="58"/>
        <v>Mannitol</v>
      </c>
      <c r="D111" s="25" t="s">
        <v>171</v>
      </c>
      <c r="E111" s="23" t="s">
        <v>180</v>
      </c>
      <c r="F111" s="104" t="s">
        <v>192</v>
      </c>
      <c r="G111" s="105" t="str">
        <f t="shared" si="63"/>
        <v>Nu se comercializeaza in Romania</v>
      </c>
      <c r="H111" s="35" t="s">
        <v>185</v>
      </c>
      <c r="I111" s="138" t="str">
        <f t="shared" si="59"/>
        <v>Deshidratarea si reducerea volumului vitros. Miscarea posterioara a planului iris - lentila cu aprofundarea AC</v>
      </c>
      <c r="J111" s="135" t="str">
        <f t="shared" si="60"/>
        <v>15-30%</v>
      </c>
      <c r="K111" s="137" t="str">
        <f t="shared" si="61"/>
        <v>Disfunctii cardiace sau renale</v>
      </c>
      <c r="L111" s="137" t="str">
        <f t="shared" si="62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12" spans="1:12" ht="24.95" customHeight="1" x14ac:dyDescent="0.25">
      <c r="A112" t="s">
        <v>253</v>
      </c>
      <c r="B112" s="113" t="str">
        <f t="shared" si="57"/>
        <v>INTRAVENOS</v>
      </c>
      <c r="C112" s="161" t="str">
        <f t="shared" si="58"/>
        <v>Mannitol</v>
      </c>
      <c r="D112" s="25" t="s">
        <v>171</v>
      </c>
      <c r="E112" s="23" t="s">
        <v>181</v>
      </c>
      <c r="F112" s="104" t="s">
        <v>192</v>
      </c>
      <c r="G112" s="105" t="str">
        <f t="shared" si="63"/>
        <v>Nu se comercializeaza in Romania</v>
      </c>
      <c r="H112" s="35" t="s">
        <v>186</v>
      </c>
      <c r="I112" s="138" t="str">
        <f t="shared" si="59"/>
        <v>Deshidratarea si reducerea volumului vitros. Miscarea posterioara a planului iris - lentila cu aprofundarea AC</v>
      </c>
      <c r="J112" s="135" t="str">
        <f t="shared" si="60"/>
        <v>15-30%</v>
      </c>
      <c r="K112" s="137" t="str">
        <f t="shared" si="61"/>
        <v>Disfunctii cardiace sau renale</v>
      </c>
      <c r="L112" s="137" t="str">
        <f t="shared" si="62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13" spans="1:12" ht="24.95" customHeight="1" thickBot="1" x14ac:dyDescent="0.3">
      <c r="A113" t="s">
        <v>253</v>
      </c>
      <c r="B113" s="113" t="str">
        <f t="shared" si="57"/>
        <v>INTRAVENOS</v>
      </c>
      <c r="C113" s="162" t="str">
        <f t="shared" si="58"/>
        <v>Mannitol</v>
      </c>
      <c r="D113" s="64" t="s">
        <v>171</v>
      </c>
      <c r="E113" s="45" t="s">
        <v>182</v>
      </c>
      <c r="F113" s="3" t="s">
        <v>194</v>
      </c>
      <c r="G113" s="36">
        <v>58</v>
      </c>
      <c r="H113" s="37" t="s">
        <v>186</v>
      </c>
      <c r="I113" s="138" t="str">
        <f t="shared" si="59"/>
        <v>Deshidratarea si reducerea volumului vitros. Miscarea posterioara a planului iris - lentila cu aprofundarea AC</v>
      </c>
      <c r="J113" s="135" t="str">
        <f t="shared" si="60"/>
        <v>15-30%</v>
      </c>
      <c r="K113" s="137" t="str">
        <f t="shared" si="61"/>
        <v>Disfunctii cardiace sau renale</v>
      </c>
      <c r="L113" s="137" t="str">
        <f t="shared" si="62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14" spans="1:12" ht="24.95" customHeight="1" thickBot="1" x14ac:dyDescent="0.3">
      <c r="A114" t="s">
        <v>253</v>
      </c>
      <c r="B114" s="114" t="str">
        <f t="shared" si="57"/>
        <v>INTRAVENOS</v>
      </c>
      <c r="C114" s="65" t="s">
        <v>188</v>
      </c>
      <c r="D114" s="59" t="s">
        <v>255</v>
      </c>
      <c r="E114" s="60" t="s">
        <v>255</v>
      </c>
      <c r="F114" s="151" t="s">
        <v>192</v>
      </c>
      <c r="G114" s="150" t="str">
        <f>F114</f>
        <v>Nu se comercializeaza in Romania</v>
      </c>
      <c r="H114" s="33" t="s">
        <v>255</v>
      </c>
      <c r="I114" s="139" t="str">
        <f t="shared" si="59"/>
        <v>Deshidratarea si reducerea volumului vitros. Miscarea posterioara a planului iris - lentila cu aprofundarea AC</v>
      </c>
      <c r="J114" s="136" t="str">
        <f t="shared" si="60"/>
        <v>15-30%</v>
      </c>
      <c r="K114" s="111" t="str">
        <f t="shared" si="61"/>
        <v>Disfunctii cardiace sau renale</v>
      </c>
      <c r="L114" s="111" t="str">
        <f t="shared" si="62"/>
        <v>Greata, varsaturi, deshidratare. Cresterea diurezei, hiponatremia serera poate duce la letargie, obtundation, convulsii, coma. Posibila crestere a glucozei in sange. Insuficienta renala oligurica acuta. Reactie de hipersensibilitate.</v>
      </c>
    </row>
    <row r="115" spans="1:12" ht="24.95" customHeight="1" x14ac:dyDescent="0.25"/>
    <row r="116" spans="1:12" ht="24.95" customHeight="1" x14ac:dyDescent="0.25"/>
    <row r="117" spans="1:12" ht="24.95" customHeight="1" x14ac:dyDescent="0.25"/>
    <row r="118" spans="1:12" ht="24.95" customHeight="1" x14ac:dyDescent="0.25"/>
    <row r="119" spans="1:12" ht="24.95" customHeight="1" x14ac:dyDescent="0.25"/>
    <row r="120" spans="1:12" ht="24.95" customHeight="1" x14ac:dyDescent="0.25"/>
    <row r="121" spans="1:12" ht="24.95" customHeight="1" x14ac:dyDescent="0.25"/>
    <row r="122" spans="1:12" ht="24.95" customHeight="1" x14ac:dyDescent="0.25"/>
    <row r="123" spans="1:12" ht="24.95" customHeight="1" x14ac:dyDescent="0.25"/>
    <row r="124" spans="1:12" ht="24.95" customHeight="1" x14ac:dyDescent="0.25"/>
    <row r="125" spans="1:12" ht="24.95" customHeight="1" x14ac:dyDescent="0.25"/>
    <row r="126" spans="1:12" ht="24.95" customHeight="1" x14ac:dyDescent="0.25"/>
    <row r="127" spans="1:12" ht="24.95" customHeight="1" x14ac:dyDescent="0.25"/>
    <row r="128" spans="1:12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zoomScale="70" zoomScaleNormal="70" workbookViewId="0">
      <selection activeCell="B31" sqref="B31"/>
    </sheetView>
  </sheetViews>
  <sheetFormatPr defaultRowHeight="15" x14ac:dyDescent="0.25"/>
  <cols>
    <col min="1" max="1" width="54.85546875" customWidth="1"/>
    <col min="2" max="2" width="48.28515625" style="71" customWidth="1"/>
    <col min="3" max="3" width="40" style="1" customWidth="1"/>
    <col min="4" max="4" width="23.140625" customWidth="1"/>
    <col min="5" max="5" width="42.140625" style="1" customWidth="1"/>
    <col min="6" max="6" width="9.140625" style="1"/>
    <col min="7" max="7" width="11" style="73" customWidth="1"/>
    <col min="8" max="8" width="21" style="1" customWidth="1"/>
    <col min="9" max="9" width="48.7109375" customWidth="1"/>
    <col min="10" max="10" width="17.42578125" customWidth="1"/>
    <col min="11" max="11" width="22.28515625" customWidth="1"/>
    <col min="12" max="12" width="23.140625" customWidth="1"/>
  </cols>
  <sheetData>
    <row r="1" spans="1:12" s="4" customFormat="1" ht="42.75" customHeight="1" thickBot="1" x14ac:dyDescent="0.3">
      <c r="A1" s="157" t="s">
        <v>254</v>
      </c>
      <c r="B1" s="93" t="s">
        <v>0</v>
      </c>
      <c r="C1" s="164" t="s">
        <v>2</v>
      </c>
      <c r="D1" s="94" t="s">
        <v>16</v>
      </c>
      <c r="E1" s="70" t="s">
        <v>15</v>
      </c>
      <c r="F1" s="11" t="s">
        <v>18</v>
      </c>
      <c r="G1" s="72" t="s">
        <v>22</v>
      </c>
      <c r="H1" s="11" t="s">
        <v>17</v>
      </c>
      <c r="I1" s="11" t="s">
        <v>7</v>
      </c>
      <c r="J1" s="11" t="s">
        <v>96</v>
      </c>
      <c r="K1" s="11" t="s">
        <v>9</v>
      </c>
      <c r="L1" s="62" t="s">
        <v>10</v>
      </c>
    </row>
    <row r="2" spans="1:12" ht="24.95" customHeight="1" thickBot="1" x14ac:dyDescent="0.3">
      <c r="A2" t="s">
        <v>200</v>
      </c>
      <c r="B2" s="165" t="s">
        <v>217</v>
      </c>
      <c r="C2" s="166" t="s">
        <v>201</v>
      </c>
      <c r="D2" s="167" t="s">
        <v>19</v>
      </c>
      <c r="E2" s="168" t="s">
        <v>277</v>
      </c>
      <c r="F2" s="169">
        <v>0</v>
      </c>
      <c r="G2" s="169">
        <v>46.63</v>
      </c>
      <c r="H2" s="170" t="s">
        <v>21</v>
      </c>
      <c r="I2" s="171" t="s">
        <v>278</v>
      </c>
      <c r="J2" s="172"/>
      <c r="K2" s="173" t="s">
        <v>233</v>
      </c>
      <c r="L2" s="174" t="s">
        <v>237</v>
      </c>
    </row>
    <row r="3" spans="1:12" ht="24.95" customHeight="1" thickBot="1" x14ac:dyDescent="0.3">
      <c r="A3" t="s">
        <v>200</v>
      </c>
      <c r="B3" s="175" t="s">
        <v>217</v>
      </c>
      <c r="C3" s="166" t="s">
        <v>201</v>
      </c>
      <c r="D3" s="176" t="s">
        <v>19</v>
      </c>
      <c r="E3" s="177" t="s">
        <v>202</v>
      </c>
      <c r="F3" s="178">
        <v>0</v>
      </c>
      <c r="G3" s="178">
        <v>69.36</v>
      </c>
      <c r="H3" s="179" t="s">
        <v>49</v>
      </c>
      <c r="I3" s="171" t="s">
        <v>278</v>
      </c>
      <c r="J3" s="180"/>
      <c r="K3" s="173" t="s">
        <v>233</v>
      </c>
      <c r="L3" s="174" t="s">
        <v>237</v>
      </c>
    </row>
    <row r="4" spans="1:12" s="4" customFormat="1" ht="24.75" customHeight="1" thickBot="1" x14ac:dyDescent="0.3">
      <c r="A4" t="s">
        <v>200</v>
      </c>
      <c r="B4" s="181" t="s">
        <v>218</v>
      </c>
      <c r="C4" s="182" t="s">
        <v>203</v>
      </c>
      <c r="D4" s="183" t="s">
        <v>19</v>
      </c>
      <c r="E4" s="184" t="s">
        <v>279</v>
      </c>
      <c r="F4" s="185">
        <v>0</v>
      </c>
      <c r="G4" s="186">
        <v>29</v>
      </c>
      <c r="H4" s="187" t="s">
        <v>21</v>
      </c>
      <c r="I4" s="188" t="s">
        <v>278</v>
      </c>
      <c r="J4" s="189"/>
      <c r="K4" s="173" t="s">
        <v>233</v>
      </c>
      <c r="L4" s="174" t="s">
        <v>237</v>
      </c>
    </row>
    <row r="5" spans="1:12" ht="24.95" customHeight="1" thickBot="1" x14ac:dyDescent="0.3">
      <c r="A5" t="s">
        <v>200</v>
      </c>
      <c r="B5" s="181" t="s">
        <v>218</v>
      </c>
      <c r="C5" s="182" t="s">
        <v>203</v>
      </c>
      <c r="D5" s="183" t="s">
        <v>19</v>
      </c>
      <c r="E5" s="190" t="s">
        <v>213</v>
      </c>
      <c r="F5" s="170">
        <v>0</v>
      </c>
      <c r="G5" s="191">
        <v>28.98</v>
      </c>
      <c r="H5" s="192" t="s">
        <v>24</v>
      </c>
      <c r="I5" s="188" t="s">
        <v>278</v>
      </c>
      <c r="J5" s="193"/>
      <c r="K5" s="173" t="s">
        <v>233</v>
      </c>
      <c r="L5" s="174" t="s">
        <v>237</v>
      </c>
    </row>
    <row r="6" spans="1:12" ht="24.95" customHeight="1" thickBot="1" x14ac:dyDescent="0.3">
      <c r="A6" t="s">
        <v>200</v>
      </c>
      <c r="B6" s="194" t="s">
        <v>218</v>
      </c>
      <c r="C6" s="195" t="s">
        <v>203</v>
      </c>
      <c r="D6" s="183" t="s">
        <v>19</v>
      </c>
      <c r="E6" s="184" t="s">
        <v>214</v>
      </c>
      <c r="F6" s="183" t="s">
        <v>192</v>
      </c>
      <c r="G6" s="183" t="s">
        <v>192</v>
      </c>
      <c r="H6" s="196" t="s">
        <v>26</v>
      </c>
      <c r="I6" s="188" t="s">
        <v>278</v>
      </c>
      <c r="J6" s="185"/>
      <c r="K6" s="173" t="s">
        <v>233</v>
      </c>
      <c r="L6" s="174" t="s">
        <v>237</v>
      </c>
    </row>
    <row r="7" spans="1:12" ht="24.95" customHeight="1" thickBot="1" x14ac:dyDescent="0.3">
      <c r="A7" t="s">
        <v>200</v>
      </c>
      <c r="B7" s="194" t="s">
        <v>218</v>
      </c>
      <c r="C7" s="195" t="s">
        <v>203</v>
      </c>
      <c r="D7" s="183" t="s">
        <v>19</v>
      </c>
      <c r="E7" s="197" t="s">
        <v>215</v>
      </c>
      <c r="F7" s="198">
        <v>8.39</v>
      </c>
      <c r="G7" s="199">
        <v>28.95</v>
      </c>
      <c r="H7" s="200" t="s">
        <v>35</v>
      </c>
      <c r="I7" s="188" t="s">
        <v>278</v>
      </c>
      <c r="J7" s="201"/>
      <c r="K7" s="173" t="s">
        <v>233</v>
      </c>
      <c r="L7" s="174" t="s">
        <v>237</v>
      </c>
    </row>
    <row r="8" spans="1:12" ht="24.95" customHeight="1" thickBot="1" x14ac:dyDescent="0.3">
      <c r="A8" t="s">
        <v>200</v>
      </c>
      <c r="B8" s="194" t="s">
        <v>218</v>
      </c>
      <c r="C8" s="195" t="s">
        <v>203</v>
      </c>
      <c r="D8" s="183" t="s">
        <v>19</v>
      </c>
      <c r="E8" s="197" t="s">
        <v>216</v>
      </c>
      <c r="F8" s="202" t="s">
        <v>192</v>
      </c>
      <c r="G8" s="202" t="s">
        <v>192</v>
      </c>
      <c r="H8" s="200" t="s">
        <v>36</v>
      </c>
      <c r="I8" s="188" t="s">
        <v>278</v>
      </c>
      <c r="J8" s="201"/>
      <c r="K8" s="173" t="s">
        <v>233</v>
      </c>
      <c r="L8" s="174" t="s">
        <v>237</v>
      </c>
    </row>
    <row r="9" spans="1:12" ht="24.95" customHeight="1" thickBot="1" x14ac:dyDescent="0.3">
      <c r="A9" t="s">
        <v>200</v>
      </c>
      <c r="B9" s="203" t="s">
        <v>218</v>
      </c>
      <c r="C9" s="204" t="s">
        <v>204</v>
      </c>
      <c r="D9" s="205" t="s">
        <v>19</v>
      </c>
      <c r="E9" s="197" t="s">
        <v>219</v>
      </c>
      <c r="F9" s="198">
        <v>0</v>
      </c>
      <c r="G9" s="199">
        <v>62.808257184438901</v>
      </c>
      <c r="H9" s="200" t="s">
        <v>44</v>
      </c>
      <c r="I9" s="188" t="s">
        <v>278</v>
      </c>
      <c r="J9" s="201"/>
      <c r="K9" s="173" t="s">
        <v>233</v>
      </c>
      <c r="L9" s="174" t="s">
        <v>237</v>
      </c>
    </row>
    <row r="10" spans="1:12" ht="24.95" customHeight="1" thickBot="1" x14ac:dyDescent="0.3">
      <c r="A10" t="s">
        <v>200</v>
      </c>
      <c r="B10" s="203" t="s">
        <v>218</v>
      </c>
      <c r="C10" s="206" t="s">
        <v>212</v>
      </c>
      <c r="D10" s="205" t="s">
        <v>192</v>
      </c>
      <c r="E10" s="207" t="s">
        <v>192</v>
      </c>
      <c r="F10" s="208" t="s">
        <v>192</v>
      </c>
      <c r="G10" s="208" t="s">
        <v>192</v>
      </c>
      <c r="H10" s="209" t="s">
        <v>192</v>
      </c>
      <c r="I10" s="188" t="s">
        <v>278</v>
      </c>
      <c r="J10" s="210"/>
      <c r="K10" s="173" t="s">
        <v>233</v>
      </c>
      <c r="L10" s="174" t="s">
        <v>237</v>
      </c>
    </row>
    <row r="11" spans="1:12" ht="24.95" customHeight="1" thickBot="1" x14ac:dyDescent="0.3">
      <c r="A11" t="s">
        <v>200</v>
      </c>
      <c r="B11" s="203" t="s">
        <v>248</v>
      </c>
      <c r="C11" s="195" t="s">
        <v>206</v>
      </c>
      <c r="D11" s="185" t="s">
        <v>19</v>
      </c>
      <c r="E11" s="184" t="s">
        <v>220</v>
      </c>
      <c r="F11" s="205">
        <v>4.2</v>
      </c>
      <c r="G11" s="211">
        <v>35.869710765999699</v>
      </c>
      <c r="H11" s="196" t="s">
        <v>38</v>
      </c>
      <c r="I11" s="188" t="s">
        <v>236</v>
      </c>
      <c r="J11" s="185"/>
      <c r="K11" s="173" t="s">
        <v>233</v>
      </c>
      <c r="L11" s="174" t="s">
        <v>237</v>
      </c>
    </row>
    <row r="12" spans="1:12" ht="24.95" customHeight="1" thickBot="1" x14ac:dyDescent="0.3">
      <c r="A12" t="s">
        <v>200</v>
      </c>
      <c r="B12" s="203" t="s">
        <v>248</v>
      </c>
      <c r="C12" s="195" t="s">
        <v>206</v>
      </c>
      <c r="D12" s="185" t="s">
        <v>19</v>
      </c>
      <c r="E12" s="190" t="s">
        <v>221</v>
      </c>
      <c r="F12" s="207">
        <v>0</v>
      </c>
      <c r="G12" s="212">
        <v>26.367296721747898</v>
      </c>
      <c r="H12" s="213" t="s">
        <v>223</v>
      </c>
      <c r="I12" s="188" t="s">
        <v>236</v>
      </c>
      <c r="J12" s="201"/>
      <c r="K12" s="173" t="s">
        <v>233</v>
      </c>
      <c r="L12" s="174" t="s">
        <v>237</v>
      </c>
    </row>
    <row r="13" spans="1:12" ht="24.95" customHeight="1" thickBot="1" x14ac:dyDescent="0.3">
      <c r="A13" t="s">
        <v>200</v>
      </c>
      <c r="B13" s="203" t="s">
        <v>248</v>
      </c>
      <c r="C13" s="214" t="s">
        <v>247</v>
      </c>
      <c r="D13" s="167" t="s">
        <v>19</v>
      </c>
      <c r="E13" s="215" t="s">
        <v>224</v>
      </c>
      <c r="F13" s="170">
        <v>0</v>
      </c>
      <c r="G13" s="191">
        <v>58.001568482344702</v>
      </c>
      <c r="H13" s="216" t="s">
        <v>44</v>
      </c>
      <c r="I13" s="188" t="s">
        <v>236</v>
      </c>
      <c r="J13" s="210"/>
      <c r="K13" s="173" t="s">
        <v>233</v>
      </c>
      <c r="L13" s="174" t="s">
        <v>237</v>
      </c>
    </row>
    <row r="14" spans="1:12" ht="24.75" customHeight="1" thickBot="1" x14ac:dyDescent="0.3">
      <c r="A14" t="s">
        <v>200</v>
      </c>
      <c r="B14" s="217" t="s">
        <v>228</v>
      </c>
      <c r="C14" s="206" t="s">
        <v>211</v>
      </c>
      <c r="D14" s="218" t="s">
        <v>19</v>
      </c>
      <c r="E14" s="219" t="s">
        <v>245</v>
      </c>
      <c r="F14" s="220">
        <v>65.89</v>
      </c>
      <c r="G14" s="221">
        <v>65.89</v>
      </c>
      <c r="H14" s="222" t="s">
        <v>246</v>
      </c>
      <c r="I14" s="223" t="s">
        <v>236</v>
      </c>
      <c r="J14" s="189"/>
      <c r="K14" s="173" t="s">
        <v>233</v>
      </c>
      <c r="L14" s="174" t="s">
        <v>237</v>
      </c>
    </row>
    <row r="15" spans="1:12" ht="24.95" customHeight="1" thickBot="1" x14ac:dyDescent="0.3">
      <c r="A15" t="s">
        <v>200</v>
      </c>
      <c r="B15" s="217" t="s">
        <v>222</v>
      </c>
      <c r="C15" s="166" t="s">
        <v>205</v>
      </c>
      <c r="D15" s="170" t="s">
        <v>19</v>
      </c>
      <c r="E15" s="224" t="s">
        <v>229</v>
      </c>
      <c r="F15" s="167" t="s">
        <v>192</v>
      </c>
      <c r="G15" s="225" t="s">
        <v>192</v>
      </c>
      <c r="H15" s="224" t="s">
        <v>230</v>
      </c>
      <c r="I15" s="188" t="s">
        <v>280</v>
      </c>
      <c r="J15" s="193"/>
      <c r="K15" s="173" t="s">
        <v>233</v>
      </c>
      <c r="L15" s="174" t="s">
        <v>237</v>
      </c>
    </row>
    <row r="16" spans="1:12" ht="24.95" customHeight="1" thickBot="1" x14ac:dyDescent="0.3">
      <c r="A16" t="s">
        <v>200</v>
      </c>
      <c r="B16" s="203" t="s">
        <v>225</v>
      </c>
      <c r="C16" s="226" t="s">
        <v>207</v>
      </c>
      <c r="D16" s="174" t="s">
        <v>192</v>
      </c>
      <c r="E16" s="174" t="s">
        <v>192</v>
      </c>
      <c r="F16" s="174" t="s">
        <v>192</v>
      </c>
      <c r="G16" s="174" t="s">
        <v>192</v>
      </c>
      <c r="H16" s="174" t="s">
        <v>192</v>
      </c>
      <c r="I16" s="189"/>
      <c r="J16" s="185"/>
      <c r="K16" s="173" t="s">
        <v>233</v>
      </c>
      <c r="L16" s="174" t="s">
        <v>237</v>
      </c>
    </row>
    <row r="17" spans="1:12" ht="24.95" customHeight="1" thickBot="1" x14ac:dyDescent="0.3">
      <c r="A17" t="s">
        <v>200</v>
      </c>
      <c r="B17" s="203" t="s">
        <v>225</v>
      </c>
      <c r="C17" s="227" t="s">
        <v>208</v>
      </c>
      <c r="D17" s="174" t="s">
        <v>192</v>
      </c>
      <c r="E17" s="174" t="s">
        <v>192</v>
      </c>
      <c r="F17" s="174" t="s">
        <v>192</v>
      </c>
      <c r="G17" s="174" t="s">
        <v>192</v>
      </c>
      <c r="H17" s="174" t="s">
        <v>192</v>
      </c>
      <c r="I17" s="228"/>
      <c r="J17" s="201"/>
      <c r="K17" s="173" t="s">
        <v>233</v>
      </c>
      <c r="L17" s="174" t="s">
        <v>237</v>
      </c>
    </row>
    <row r="18" spans="1:12" ht="24.95" customHeight="1" thickBot="1" x14ac:dyDescent="0.3">
      <c r="A18" t="s">
        <v>200</v>
      </c>
      <c r="B18" s="229" t="s">
        <v>225</v>
      </c>
      <c r="C18" s="227" t="s">
        <v>209</v>
      </c>
      <c r="D18" s="174" t="s">
        <v>192</v>
      </c>
      <c r="E18" s="174" t="s">
        <v>192</v>
      </c>
      <c r="F18" s="174" t="s">
        <v>192</v>
      </c>
      <c r="G18" s="174" t="s">
        <v>192</v>
      </c>
      <c r="H18" s="174" t="s">
        <v>192</v>
      </c>
      <c r="I18" s="228"/>
      <c r="J18" s="201"/>
      <c r="K18" s="173" t="s">
        <v>233</v>
      </c>
      <c r="L18" s="174" t="s">
        <v>237</v>
      </c>
    </row>
    <row r="19" spans="1:12" ht="24.95" customHeight="1" thickBot="1" x14ac:dyDescent="0.3">
      <c r="A19" t="s">
        <v>200</v>
      </c>
      <c r="B19" s="217" t="s">
        <v>227</v>
      </c>
      <c r="C19" s="230" t="s">
        <v>210</v>
      </c>
      <c r="D19" s="174" t="s">
        <v>192</v>
      </c>
      <c r="E19" s="174" t="s">
        <v>192</v>
      </c>
      <c r="F19" s="174" t="s">
        <v>192</v>
      </c>
      <c r="G19" s="174" t="s">
        <v>192</v>
      </c>
      <c r="H19" s="174" t="s">
        <v>192</v>
      </c>
      <c r="I19" s="231"/>
      <c r="J19" s="210"/>
      <c r="K19" s="173" t="s">
        <v>233</v>
      </c>
      <c r="L19" s="174" t="s">
        <v>237</v>
      </c>
    </row>
  </sheetData>
  <sortState ref="A2:L19">
    <sortCondition ref="H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workbookViewId="0">
      <selection activeCell="A3" sqref="A3"/>
    </sheetView>
  </sheetViews>
  <sheetFormatPr defaultRowHeight="15" x14ac:dyDescent="0.25"/>
  <cols>
    <col min="1" max="1" width="41.5703125" customWidth="1"/>
    <col min="2" max="2" width="18.7109375" customWidth="1"/>
    <col min="3" max="3" width="16.5703125" customWidth="1"/>
    <col min="4" max="4" width="27.7109375" customWidth="1"/>
    <col min="5" max="5" width="24" customWidth="1"/>
    <col min="6" max="6" width="26.85546875" customWidth="1"/>
  </cols>
  <sheetData>
    <row r="2" spans="1:6" ht="24.95" customHeight="1" x14ac:dyDescent="0.25">
      <c r="A2" s="74" t="s">
        <v>0</v>
      </c>
      <c r="B2" s="2" t="s">
        <v>238</v>
      </c>
      <c r="C2" s="2" t="s">
        <v>239</v>
      </c>
      <c r="D2" s="2" t="s">
        <v>240</v>
      </c>
      <c r="E2" s="2" t="s">
        <v>241</v>
      </c>
      <c r="F2" s="2" t="s">
        <v>242</v>
      </c>
    </row>
    <row r="3" spans="1:6" ht="24.95" customHeight="1" x14ac:dyDescent="0.25">
      <c r="A3" s="2" t="s">
        <v>238</v>
      </c>
      <c r="B3" s="75"/>
      <c r="C3" s="3" t="s">
        <v>243</v>
      </c>
      <c r="D3" s="3" t="s">
        <v>243</v>
      </c>
      <c r="E3" s="3" t="s">
        <v>243</v>
      </c>
      <c r="F3" s="3" t="s">
        <v>243</v>
      </c>
    </row>
    <row r="4" spans="1:6" ht="24.95" customHeight="1" x14ac:dyDescent="0.25">
      <c r="A4" s="2" t="s">
        <v>239</v>
      </c>
      <c r="B4" s="3" t="s">
        <v>243</v>
      </c>
      <c r="C4" s="75"/>
      <c r="D4" s="3" t="s">
        <v>243</v>
      </c>
      <c r="E4" s="3" t="s">
        <v>243</v>
      </c>
      <c r="F4" s="3" t="s">
        <v>243</v>
      </c>
    </row>
    <row r="5" spans="1:6" ht="24.95" customHeight="1" x14ac:dyDescent="0.25">
      <c r="A5" s="2" t="s">
        <v>240</v>
      </c>
      <c r="B5" s="3" t="s">
        <v>243</v>
      </c>
      <c r="C5" s="3" t="s">
        <v>243</v>
      </c>
      <c r="D5" s="75"/>
      <c r="E5" s="3" t="s">
        <v>243</v>
      </c>
      <c r="F5" s="3" t="s">
        <v>243</v>
      </c>
    </row>
    <row r="6" spans="1:6" ht="24.95" customHeight="1" x14ac:dyDescent="0.25">
      <c r="A6" s="2" t="s">
        <v>241</v>
      </c>
      <c r="B6" s="3" t="s">
        <v>243</v>
      </c>
      <c r="C6" s="3" t="s">
        <v>243</v>
      </c>
      <c r="D6" s="3" t="s">
        <v>243</v>
      </c>
      <c r="E6" s="75"/>
      <c r="F6" s="76" t="s">
        <v>244</v>
      </c>
    </row>
    <row r="7" spans="1:6" ht="24.95" customHeight="1" x14ac:dyDescent="0.25">
      <c r="A7" s="2" t="s">
        <v>242</v>
      </c>
      <c r="B7" s="3" t="s">
        <v>243</v>
      </c>
      <c r="C7" s="3" t="s">
        <v>243</v>
      </c>
      <c r="D7" s="3" t="s">
        <v>243</v>
      </c>
      <c r="E7" s="76" t="s">
        <v>244</v>
      </c>
      <c r="F7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MONOTERAPIE</vt:lpstr>
      <vt:lpstr>COMBINATII</vt:lpstr>
      <vt:lpstr>INTERACTIUNI MEDICAMENTOASE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Alex</cp:lastModifiedBy>
  <dcterms:created xsi:type="dcterms:W3CDTF">2017-11-12T05:57:55Z</dcterms:created>
  <dcterms:modified xsi:type="dcterms:W3CDTF">2018-08-27T12:17:45Z</dcterms:modified>
</cp:coreProperties>
</file>